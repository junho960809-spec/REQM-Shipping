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재고현황" sheetId="1" state="visible" r:id="rId1"/>
    <sheet xmlns:r="http://schemas.openxmlformats.org/officeDocument/2006/relationships" name="실재고 전산비교" sheetId="2" state="visible" r:id="rId2"/>
    <sheet xmlns:r="http://schemas.openxmlformats.org/officeDocument/2006/relationships" name="재고데이터" sheetId="3" state="visible" r:id="rId3"/>
    <sheet xmlns:r="http://schemas.openxmlformats.org/officeDocument/2006/relationships" name="재고데이터-리큐엠" sheetId="4" state="visible" r:id="rId4"/>
    <sheet xmlns:r="http://schemas.openxmlformats.org/officeDocument/2006/relationships" name="재고데이터-위킵" sheetId="5" state="visible" r:id="rId5"/>
    <sheet xmlns:r="http://schemas.openxmlformats.org/officeDocument/2006/relationships" name="재고데이터-이모아이" sheetId="6" state="hidden" r:id="rId6"/>
    <sheet xmlns:r="http://schemas.openxmlformats.org/officeDocument/2006/relationships" name="RAWDATA_이카운트" sheetId="7" state="visible" r:id="rId7"/>
    <sheet xmlns:r="http://schemas.openxmlformats.org/officeDocument/2006/relationships" name="DAILY" sheetId="8" state="visible" r:id="rId8"/>
    <sheet xmlns:r="http://schemas.openxmlformats.org/officeDocument/2006/relationships" name="단가 " sheetId="9" state="visible" r:id="rId9"/>
  </sheets>
  <externalReferences>
    <externalReference xmlns:r="http://schemas.openxmlformats.org/officeDocument/2006/relationships" r:id="rId10"/>
  </externalReferences>
  <definedNames>
    <definedName name="arial">#REF!</definedName>
    <definedName name="KT_리스트">[1]KT_직매입코드!$C$2:$C$208</definedName>
    <definedName name="거래처명">#REF!</definedName>
    <definedName name="리스트_KT">#REF!</definedName>
    <definedName name="주소록">#REF!</definedName>
    <definedName name="중복확인">#REF!+#REF!</definedName>
    <definedName name="arial" localSheetId="1">#REF!</definedName>
    <definedName name="거래처명" localSheetId="1">#REF!</definedName>
    <definedName name="리스트_KT" localSheetId="1">#REF!</definedName>
    <definedName name="주소록" localSheetId="1">#REF!</definedName>
    <definedName name="중복확인" localSheetId="1">#REF!+#REF!</definedName>
    <definedName name="_xlnm.Print_Titles" localSheetId="2">'재고데이터'!$2:$2</definedName>
    <definedName name="_xlnm._FilterDatabase" localSheetId="4" hidden="1">'재고데이터-위킵'!$C$1:$C$180</definedName>
    <definedName name="_xlnm._FilterDatabase" localSheetId="6" hidden="1">'RAWDATA_이카운트'!$A$2:$P$138710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_ ;[Red]\-0\ "/>
    <numFmt numFmtId="165" formatCode="_-* #,##0_-;\-* #,##0_-;_-* &quot;-&quot;_-;_-@_-"/>
    <numFmt numFmtId="166" formatCode="_-* #,##0.0_-;\-* #,##0.0_-;_-* &quot;-&quot;_-;_-@_-"/>
    <numFmt numFmtId="167" formatCode="#,##0_ ;[Red]\-#,##0\ "/>
    <numFmt numFmtId="168" formatCode="mm&quot;월&quot;\ dd&quot;일&quot;"/>
    <numFmt numFmtId="169" formatCode="yyyy/mm/dd;@"/>
    <numFmt numFmtId="170" formatCode="&quot;₩&quot;#,##0_);[Red]\(&quot;₩&quot;#,##0\)"/>
    <numFmt numFmtId="171" formatCode="#,##0.000000"/>
  </numFmts>
  <fonts count="5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indexed="8"/>
      <sz val="16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indexed="8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indexed="8"/>
      <sz val="14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Arial"/>
      <family val="2"/>
      <color rgb="FF005B9E"/>
      <sz val="9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맑은 고딕"/>
      <charset val="129"/>
      <family val="3"/>
      <color rgb="FFFF0000"/>
      <sz val="10"/>
      <scheme val="minor"/>
    </font>
    <font>
      <name val="돋움"/>
      <charset val="129"/>
      <family val="3"/>
      <b val="1"/>
      <sz val="11"/>
    </font>
    <font>
      <name val="맑은 고딕"/>
      <family val="2"/>
      <b val="1"/>
      <sz val="11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0"/>
    </font>
    <font>
      <name val="맑은 고딕"/>
      <charset val="129"/>
      <family val="3"/>
      <sz val="10"/>
    </font>
    <font>
      <name val="Arial"/>
      <family val="2"/>
      <color indexed="8"/>
      <sz val="10"/>
    </font>
    <font>
      <name val="맑은 고딕"/>
      <family val="2"/>
      <color indexed="8"/>
      <sz val="10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새굴림"/>
      <charset val="129"/>
      <family val="1"/>
      <sz val="10"/>
    </font>
    <font>
      <name val="Arial"/>
      <charset val="129"/>
      <family val="2"/>
      <sz val="10"/>
    </font>
    <font>
      <name val="맑은 고딕"/>
      <family val="2"/>
      <color indexed="8"/>
      <sz val="10"/>
      <scheme val="minor"/>
    </font>
    <font>
      <name val="맑은 고딕"/>
      <charset val="129"/>
      <family val="2"/>
      <sz val="10"/>
    </font>
    <font>
      <name val="Arial"/>
      <charset val="129"/>
      <family val="3"/>
      <sz val="10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sz val="11"/>
    </font>
  </fonts>
  <fills count="1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rgb="FFF2F7FC"/>
        <bgColor indexed="64"/>
      </patternFill>
    </fill>
    <fill>
      <patternFill patternType="solid">
        <fgColor indexed="22"/>
      </patternFill>
    </fill>
  </fills>
  <borders count="9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 style="medium">
        <color auto="1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auto="1"/>
      </left>
      <right/>
      <top style="medium">
        <color indexed="64"/>
      </top>
      <bottom/>
      <diagonal/>
    </border>
    <border>
      <left style="hair">
        <color auto="1"/>
      </left>
      <right style="medium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6">
    <xf numFmtId="0" fontId="29" fillId="0" borderId="0" applyAlignment="1">
      <alignment vertical="center"/>
    </xf>
    <xf numFmtId="0" fontId="7" fillId="0" borderId="0" applyAlignment="1">
      <alignment vertical="center"/>
    </xf>
    <xf numFmtId="41" fontId="7" fillId="0" borderId="0" applyAlignment="1">
      <alignment vertical="center"/>
    </xf>
    <xf numFmtId="9" fontId="29" fillId="0" borderId="0" applyAlignment="1">
      <alignment vertical="center"/>
    </xf>
    <xf numFmtId="0" fontId="34" fillId="0" borderId="0" applyAlignment="1">
      <alignment vertical="center"/>
    </xf>
    <xf numFmtId="0" fontId="29" fillId="12" borderId="84" applyAlignment="1">
      <alignment vertical="center"/>
    </xf>
  </cellStyleXfs>
  <cellXfs count="123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10" fillId="9" borderId="2" applyAlignment="1" pivotButton="0" quotePrefix="0" xfId="1">
      <alignment vertical="center"/>
    </xf>
    <xf numFmtId="0" fontId="13" fillId="9" borderId="6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165" fontId="0" fillId="0" borderId="18" applyAlignment="1" pivotButton="0" quotePrefix="0" xfId="2">
      <alignment vertical="center"/>
    </xf>
    <xf numFmtId="165" fontId="0" fillId="0" borderId="21" applyAlignment="1" pivotButton="0" quotePrefix="0" xfId="2">
      <alignment vertical="center"/>
    </xf>
    <xf numFmtId="165" fontId="10" fillId="0" borderId="17" applyAlignment="1" pivotButton="0" quotePrefix="0" xfId="2">
      <alignment vertical="center"/>
    </xf>
    <xf numFmtId="166" fontId="0" fillId="0" borderId="18" applyAlignment="1" pivotButton="0" quotePrefix="0" xfId="2">
      <alignment vertical="center"/>
    </xf>
    <xf numFmtId="165" fontId="10" fillId="0" borderId="20" applyAlignment="1" pivotButton="0" quotePrefix="0" xfId="1">
      <alignment horizontal="center" vertical="center"/>
    </xf>
    <xf numFmtId="164" fontId="0" fillId="0" borderId="17" applyAlignment="1" pivotButton="0" quotePrefix="0" xfId="2">
      <alignment vertical="center"/>
    </xf>
    <xf numFmtId="165" fontId="10" fillId="0" borderId="18" applyAlignment="1" pivotButton="0" quotePrefix="0" xfId="2">
      <alignment vertical="center"/>
    </xf>
    <xf numFmtId="165" fontId="0" fillId="6" borderId="19" applyAlignment="1" pivotButton="0" quotePrefix="0" xfId="2">
      <alignment horizontal="center" vertical="center"/>
    </xf>
    <xf numFmtId="165" fontId="0" fillId="6" borderId="21" applyAlignment="1" pivotButton="0" quotePrefix="0" xfId="2">
      <alignment horizontal="center" vertical="center"/>
    </xf>
    <xf numFmtId="165" fontId="0" fillId="6" borderId="17" applyAlignment="1" pivotButton="0" quotePrefix="0" xfId="2">
      <alignment horizontal="center" vertical="center"/>
    </xf>
    <xf numFmtId="164" fontId="14" fillId="0" borderId="17" applyAlignment="1" pivotButton="0" quotePrefix="0" xfId="1">
      <alignment horizontal="center" vertical="center"/>
    </xf>
    <xf numFmtId="165" fontId="7" fillId="0" borderId="0" applyAlignment="1" pivotButton="0" quotePrefix="0" xfId="1">
      <alignment vertical="center"/>
    </xf>
    <xf numFmtId="166" fontId="0" fillId="0" borderId="18" applyAlignment="1" pivotButton="0" quotePrefix="0" xfId="2">
      <alignment vertical="center"/>
    </xf>
    <xf numFmtId="164" fontId="0" fillId="0" borderId="17" applyAlignment="1" pivotButton="0" quotePrefix="0" xfId="2">
      <alignment vertical="center"/>
    </xf>
    <xf numFmtId="49" fontId="0" fillId="6" borderId="17" applyAlignment="1" pivotButton="0" quotePrefix="0" xfId="2">
      <alignment horizontal="center" vertical="center"/>
    </xf>
    <xf numFmtId="165" fontId="15" fillId="10" borderId="21" applyAlignment="1" pivotButton="0" quotePrefix="0" xfId="2">
      <alignment horizontal="center" vertical="center"/>
    </xf>
    <xf numFmtId="165" fontId="15" fillId="10" borderId="17" applyAlignment="1" pivotButton="0" quotePrefix="0" xfId="2">
      <alignment horizontal="center" vertical="center"/>
    </xf>
    <xf numFmtId="165" fontId="15" fillId="10" borderId="18" applyAlignment="1" pivotButton="0" quotePrefix="0" xfId="2">
      <alignment horizontal="center" vertical="center"/>
    </xf>
    <xf numFmtId="165" fontId="0" fillId="10" borderId="19" applyAlignment="1" pivotButton="0" quotePrefix="0" xfId="2">
      <alignment horizontal="center" vertical="center"/>
    </xf>
    <xf numFmtId="165" fontId="0" fillId="10" borderId="21" applyAlignment="1" pivotButton="0" quotePrefix="0" xfId="2">
      <alignment horizontal="center" vertical="center"/>
    </xf>
    <xf numFmtId="165" fontId="0" fillId="10" borderId="17" applyAlignment="1" pivotButton="0" quotePrefix="0" xfId="2">
      <alignment horizontal="center" vertical="center"/>
    </xf>
    <xf numFmtId="165" fontId="0" fillId="10" borderId="18" applyAlignment="1" pivotButton="0" quotePrefix="0" xfId="2">
      <alignment horizontal="center" vertical="center"/>
    </xf>
    <xf numFmtId="49" fontId="0" fillId="10" borderId="17" applyAlignment="1" pivotButton="0" quotePrefix="0" xfId="2">
      <alignment horizontal="center" vertical="center"/>
    </xf>
    <xf numFmtId="165" fontId="0" fillId="6" borderId="18" applyAlignment="1" pivotButton="0" quotePrefix="0" xfId="2">
      <alignment horizontal="center" vertical="center"/>
    </xf>
    <xf numFmtId="164" fontId="17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vertical="center"/>
    </xf>
    <xf numFmtId="0" fontId="7" fillId="10" borderId="17" applyAlignment="1" pivotButton="0" quotePrefix="0" xfId="1">
      <alignment vertical="center"/>
    </xf>
    <xf numFmtId="0" fontId="7" fillId="10" borderId="23" applyAlignment="1" pivotButton="0" quotePrefix="0" xfId="1">
      <alignment vertical="center"/>
    </xf>
    <xf numFmtId="165" fontId="0" fillId="0" borderId="26" applyAlignment="1" pivotButton="0" quotePrefix="0" xfId="2">
      <alignment vertical="center"/>
    </xf>
    <xf numFmtId="165" fontId="10" fillId="0" borderId="23" applyAlignment="1" pivotButton="0" quotePrefix="0" xfId="2">
      <alignment vertical="center"/>
    </xf>
    <xf numFmtId="0" fontId="7" fillId="10" borderId="28" applyAlignment="1" pivotButton="0" quotePrefix="0" xfId="1">
      <alignment vertical="center"/>
    </xf>
    <xf numFmtId="165" fontId="0" fillId="0" borderId="30" applyAlignment="1" pivotButton="0" quotePrefix="0" xfId="2">
      <alignment vertical="center"/>
    </xf>
    <xf numFmtId="165" fontId="0" fillId="0" borderId="32" applyAlignment="1" pivotButton="0" quotePrefix="0" xfId="2">
      <alignment vertical="center"/>
    </xf>
    <xf numFmtId="165" fontId="10" fillId="0" borderId="29" applyAlignment="1" pivotButton="0" quotePrefix="0" xfId="2">
      <alignment vertical="center"/>
    </xf>
    <xf numFmtId="166" fontId="0" fillId="0" borderId="30" applyAlignment="1" pivotButton="0" quotePrefix="0" xfId="2">
      <alignment vertical="center"/>
    </xf>
    <xf numFmtId="165" fontId="10" fillId="0" borderId="28" applyAlignment="1" pivotButton="0" quotePrefix="0" xfId="1">
      <alignment horizontal="center" vertical="center"/>
    </xf>
    <xf numFmtId="164" fontId="0" fillId="0" borderId="29" applyAlignment="1" pivotButton="0" quotePrefix="0" xfId="2">
      <alignment vertical="center"/>
    </xf>
    <xf numFmtId="165" fontId="0" fillId="10" borderId="32" applyAlignment="1" pivotButton="0" quotePrefix="0" xfId="2">
      <alignment horizontal="center" vertical="center"/>
    </xf>
    <xf numFmtId="165" fontId="0" fillId="10" borderId="29" applyAlignment="1" pivotButton="0" quotePrefix="0" xfId="2">
      <alignment horizontal="center" vertical="center"/>
    </xf>
    <xf numFmtId="165" fontId="0" fillId="10" borderId="30" applyAlignment="1" pivotButton="0" quotePrefix="0" xfId="2">
      <alignment horizontal="center" vertical="center"/>
    </xf>
    <xf numFmtId="49" fontId="0" fillId="10" borderId="29" applyAlignment="1" pivotButton="0" quotePrefix="0" xfId="2">
      <alignment horizontal="center" vertical="center"/>
    </xf>
    <xf numFmtId="0" fontId="7" fillId="10" borderId="20" applyAlignment="1" pivotButton="0" quotePrefix="0" xfId="1">
      <alignment vertical="center"/>
    </xf>
    <xf numFmtId="165" fontId="0" fillId="0" borderId="33" applyAlignment="1" pivotButton="0" quotePrefix="0" xfId="2">
      <alignment vertical="center"/>
    </xf>
    <xf numFmtId="165" fontId="0" fillId="0" borderId="22" applyAlignment="1" pivotButton="0" quotePrefix="0" xfId="2">
      <alignment vertical="center"/>
    </xf>
    <xf numFmtId="165" fontId="0" fillId="0" borderId="34" applyAlignment="1" pivotButton="0" quotePrefix="0" xfId="2">
      <alignment vertical="center"/>
    </xf>
    <xf numFmtId="165" fontId="10" fillId="0" borderId="35" applyAlignment="1" pivotButton="0" quotePrefix="0" xfId="2">
      <alignment vertical="center"/>
    </xf>
    <xf numFmtId="164" fontId="14" fillId="0" borderId="36" applyAlignment="1" pivotButton="0" quotePrefix="0" xfId="1">
      <alignment horizontal="center" vertical="center"/>
    </xf>
    <xf numFmtId="166" fontId="0" fillId="0" borderId="24" applyAlignment="1" pivotButton="0" quotePrefix="0" xfId="2">
      <alignment vertical="center"/>
    </xf>
    <xf numFmtId="165" fontId="0" fillId="10" borderId="0" applyAlignment="1" pivotButton="0" quotePrefix="0" xfId="2">
      <alignment horizontal="center" vertical="center"/>
    </xf>
    <xf numFmtId="165" fontId="0" fillId="10" borderId="38" applyAlignment="1" pivotButton="0" quotePrefix="0" xfId="2">
      <alignment horizontal="center" vertical="center"/>
    </xf>
    <xf numFmtId="165" fontId="0" fillId="10" borderId="9" applyAlignment="1" pivotButton="0" quotePrefix="0" xfId="2">
      <alignment horizontal="center" vertical="center"/>
    </xf>
    <xf numFmtId="164" fontId="0" fillId="0" borderId="23" applyAlignment="1" pivotButton="0" quotePrefix="0" xfId="2">
      <alignment vertical="center"/>
    </xf>
    <xf numFmtId="165" fontId="19" fillId="10" borderId="18" applyAlignment="1" pivotButton="0" quotePrefix="0" xfId="2">
      <alignment horizontal="center" vertical="center"/>
    </xf>
    <xf numFmtId="165" fontId="19" fillId="10" borderId="21" applyAlignment="1" pivotButton="0" quotePrefix="0" xfId="2">
      <alignment horizontal="center" vertical="center"/>
    </xf>
    <xf numFmtId="0" fontId="7" fillId="10" borderId="29" applyAlignment="1" pivotButton="0" quotePrefix="0" xfId="1">
      <alignment vertical="center"/>
    </xf>
    <xf numFmtId="165" fontId="0" fillId="0" borderId="24" applyAlignment="1" pivotButton="0" quotePrefix="0" xfId="2">
      <alignment vertical="center"/>
    </xf>
    <xf numFmtId="165" fontId="10" fillId="0" borderId="27" applyAlignment="1" pivotButton="0" quotePrefix="0" xfId="1">
      <alignment horizontal="center" vertical="center"/>
    </xf>
    <xf numFmtId="165" fontId="10" fillId="0" borderId="36" applyAlignment="1" pivotButton="0" quotePrefix="0" xfId="2">
      <alignment vertical="center"/>
    </xf>
    <xf numFmtId="166" fontId="0" fillId="0" borderId="5" applyAlignment="1" pivotButton="0" quotePrefix="0" xfId="2">
      <alignment vertical="center"/>
    </xf>
    <xf numFmtId="164" fontId="0" fillId="0" borderId="4" applyAlignment="1" pivotButton="0" quotePrefix="0" xfId="2">
      <alignment vertical="center"/>
    </xf>
    <xf numFmtId="165" fontId="10" fillId="0" borderId="30" applyAlignment="1" pivotButton="0" quotePrefix="0" xfId="2">
      <alignment vertical="center"/>
    </xf>
    <xf numFmtId="164" fontId="14" fillId="0" borderId="28" applyAlignment="1" pivotButton="0" quotePrefix="0" xfId="1">
      <alignment horizontal="center" vertical="center"/>
    </xf>
    <xf numFmtId="165" fontId="10" fillId="0" borderId="40" applyAlignment="1" pivotButton="0" quotePrefix="0" xfId="1">
      <alignment horizontal="center" vertical="center"/>
    </xf>
    <xf numFmtId="164" fontId="0" fillId="0" borderId="36" applyAlignment="1" pivotButton="0" quotePrefix="0" xfId="2">
      <alignment vertical="center"/>
    </xf>
    <xf numFmtId="165" fontId="0" fillId="0" borderId="48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165" fontId="10" fillId="0" borderId="4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65" fontId="0" fillId="0" borderId="1" applyAlignment="1" pivotButton="0" quotePrefix="0" xfId="2">
      <alignment vertical="center"/>
    </xf>
    <xf numFmtId="165" fontId="0" fillId="0" borderId="14" applyAlignment="1" pivotButton="0" quotePrefix="0" xfId="2">
      <alignment vertical="center"/>
    </xf>
    <xf numFmtId="165" fontId="7" fillId="10" borderId="9" applyAlignment="1" pivotButton="0" quotePrefix="0" xfId="1">
      <alignment horizontal="center" vertical="center"/>
    </xf>
    <xf numFmtId="165" fontId="7" fillId="10" borderId="0" applyAlignment="1" pivotButton="0" quotePrefix="0" xfId="1">
      <alignment horizontal="center" vertical="center"/>
    </xf>
    <xf numFmtId="0" fontId="10" fillId="9" borderId="42" applyAlignment="1" pivotButton="0" quotePrefix="0" xfId="1">
      <alignment horizontal="center" vertical="center"/>
    </xf>
    <xf numFmtId="0" fontId="20" fillId="10" borderId="20" applyAlignment="1" pivotButton="0" quotePrefix="0" xfId="1">
      <alignment horizontal="left" vertical="center"/>
    </xf>
    <xf numFmtId="165" fontId="0" fillId="0" borderId="38" applyAlignment="1" pivotButton="0" quotePrefix="0" xfId="2">
      <alignment vertical="center"/>
    </xf>
    <xf numFmtId="165" fontId="10" fillId="0" borderId="9" applyAlignment="1" pivotButton="0" quotePrefix="0" xfId="2">
      <alignment vertical="center"/>
    </xf>
    <xf numFmtId="164" fontId="14" fillId="0" borderId="20" applyAlignment="1" pivotButton="0" quotePrefix="0" xfId="1">
      <alignment horizontal="center" vertical="center"/>
    </xf>
    <xf numFmtId="0" fontId="20" fillId="10" borderId="9" applyAlignment="1" pivotButton="0" quotePrefix="0" xfId="1">
      <alignment horizontal="left" vertical="center"/>
    </xf>
    <xf numFmtId="165" fontId="0" fillId="0" borderId="0" applyAlignment="1" pivotButton="0" quotePrefix="0" xfId="2">
      <alignment vertical="center"/>
    </xf>
    <xf numFmtId="164" fontId="14" fillId="0" borderId="8" applyAlignment="1" pivotButton="0" quotePrefix="0" xfId="1">
      <alignment horizontal="center" vertical="center"/>
    </xf>
    <xf numFmtId="49" fontId="15" fillId="10" borderId="17" applyAlignment="1" pivotButton="0" quotePrefix="0" xfId="2">
      <alignment horizontal="center" vertical="center"/>
    </xf>
    <xf numFmtId="165" fontId="15" fillId="10" borderId="0" applyAlignment="1" pivotButton="0" quotePrefix="0" xfId="2">
      <alignment horizontal="center" vertical="center"/>
    </xf>
    <xf numFmtId="165" fontId="15" fillId="10" borderId="38" applyAlignment="1" pivotButton="0" quotePrefix="0" xfId="2">
      <alignment horizontal="center" vertical="center"/>
    </xf>
    <xf numFmtId="165" fontId="15" fillId="10" borderId="9" applyAlignment="1" pivotButton="0" quotePrefix="0" xfId="2">
      <alignment horizontal="center" vertical="center"/>
    </xf>
    <xf numFmtId="49" fontId="15" fillId="10" borderId="9" applyAlignment="1" pivotButton="0" quotePrefix="0" xfId="2">
      <alignment horizontal="center" vertical="center"/>
    </xf>
    <xf numFmtId="164" fontId="14" fillId="0" borderId="27" applyAlignment="1" pivotButton="0" quotePrefix="0" xfId="1">
      <alignment horizontal="center" vertical="center"/>
    </xf>
    <xf numFmtId="0" fontId="20" fillId="10" borderId="12" applyAlignment="1" pivotButton="0" quotePrefix="0" xfId="1">
      <alignment horizontal="left" vertical="center"/>
    </xf>
    <xf numFmtId="167" fontId="7" fillId="0" borderId="0" applyAlignment="1" pivotButton="0" quotePrefix="0" xfId="1">
      <alignment vertical="center"/>
    </xf>
    <xf numFmtId="49" fontId="7" fillId="0" borderId="0" applyAlignment="1" pivotButton="0" quotePrefix="0" xfId="1">
      <alignment horizontal="center" vertical="center"/>
    </xf>
    <xf numFmtId="0" fontId="7" fillId="0" borderId="52" applyAlignment="1" pivotButton="0" quotePrefix="0" xfId="1">
      <alignment vertical="center"/>
    </xf>
    <xf numFmtId="0" fontId="21" fillId="0" borderId="53" applyAlignment="1" applyProtection="1" pivotButton="0" quotePrefix="0" xfId="1">
      <alignment horizontal="left" vertical="center"/>
      <protection locked="0" hidden="0"/>
    </xf>
    <xf numFmtId="0" fontId="22" fillId="0" borderId="53" applyAlignment="1" applyProtection="1" pivotButton="0" quotePrefix="0" xfId="1">
      <alignment horizontal="left" vertical="center"/>
      <protection locked="0" hidden="0"/>
    </xf>
    <xf numFmtId="3" fontId="22" fillId="0" borderId="53" applyAlignment="1" applyProtection="1" pivotButton="0" quotePrefix="0" xfId="1">
      <alignment horizontal="right" vertical="center"/>
      <protection locked="0" hidden="0"/>
    </xf>
    <xf numFmtId="0" fontId="7" fillId="0" borderId="53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0" fontId="23" fillId="0" borderId="0" applyAlignment="1" pivotButton="0" quotePrefix="0" xfId="1">
      <alignment horizontal="center" vertical="center"/>
    </xf>
    <xf numFmtId="0" fontId="21" fillId="0" borderId="53" applyAlignment="1" applyProtection="1" pivotButton="0" quotePrefix="0" xfId="1">
      <alignment horizontal="right" vertical="center"/>
      <protection locked="0" hidden="0"/>
    </xf>
    <xf numFmtId="0" fontId="24" fillId="0" borderId="53" applyAlignment="1" applyProtection="1" pivotButton="0" quotePrefix="0" xfId="1">
      <alignment horizontal="right" vertical="center"/>
      <protection locked="0" hidden="0"/>
    </xf>
    <xf numFmtId="0" fontId="21" fillId="0" borderId="55" applyAlignment="1" applyProtection="1" pivotButton="0" quotePrefix="0" xfId="1">
      <alignment horizontal="right" vertical="center"/>
      <protection locked="0" hidden="0"/>
    </xf>
    <xf numFmtId="0" fontId="21" fillId="0" borderId="56" applyAlignment="1" applyProtection="1" pivotButton="0" quotePrefix="0" xfId="1">
      <alignment horizontal="right" vertical="center"/>
      <protection locked="0" hidden="0"/>
    </xf>
    <xf numFmtId="0" fontId="24" fillId="0" borderId="57" applyAlignment="1" applyProtection="1" pivotButton="0" quotePrefix="0" xfId="1">
      <alignment horizontal="right" vertical="center"/>
      <protection locked="0" hidden="0"/>
    </xf>
    <xf numFmtId="0" fontId="25" fillId="0" borderId="57" applyAlignment="1" applyProtection="1" pivotButton="0" quotePrefix="0" xfId="1">
      <alignment horizontal="right" vertical="center"/>
      <protection locked="0" hidden="0"/>
    </xf>
    <xf numFmtId="0" fontId="25" fillId="0" borderId="56" applyAlignment="1" applyProtection="1" pivotButton="0" quotePrefix="0" xfId="1">
      <alignment horizontal="right" vertical="center"/>
      <protection locked="0" hidden="0"/>
    </xf>
    <xf numFmtId="3" fontId="22" fillId="0" borderId="56" applyAlignment="1" applyProtection="1" pivotButton="0" quotePrefix="0" xfId="1">
      <alignment horizontal="right" vertical="center"/>
      <protection locked="0" hidden="0"/>
    </xf>
    <xf numFmtId="3" fontId="7" fillId="0" borderId="53" applyAlignment="1" pivotButton="0" quotePrefix="0" xfId="1">
      <alignment vertical="center"/>
    </xf>
    <xf numFmtId="3" fontId="22" fillId="0" borderId="55" applyAlignment="1" applyProtection="1" pivotButton="0" quotePrefix="0" xfId="1">
      <alignment horizontal="right" vertical="center"/>
      <protection locked="0" hidden="0"/>
    </xf>
    <xf numFmtId="0" fontId="22" fillId="0" borderId="55" applyAlignment="1" applyProtection="1" pivotButton="0" quotePrefix="0" xfId="1">
      <alignment horizontal="right" vertical="center"/>
      <protection locked="0" hidden="0"/>
    </xf>
    <xf numFmtId="167" fontId="20" fillId="0" borderId="0" applyAlignment="1" pivotButton="0" quotePrefix="0" xfId="1">
      <alignment vertical="center"/>
    </xf>
    <xf numFmtId="0" fontId="7" fillId="10" borderId="0" applyAlignment="1" pivotButton="0" quotePrefix="0" xfId="1">
      <alignment vertical="center"/>
    </xf>
    <xf numFmtId="0" fontId="19" fillId="0" borderId="0" applyAlignment="1" pivotButton="0" quotePrefix="0" xfId="1">
      <alignment vertical="center"/>
    </xf>
    <xf numFmtId="167" fontId="19" fillId="0" borderId="12" applyAlignment="1" pivotButton="0" quotePrefix="0" xfId="1">
      <alignment horizontal="right" vertical="center"/>
    </xf>
    <xf numFmtId="0" fontId="19" fillId="0" borderId="13" applyAlignment="1" pivotButton="0" quotePrefix="0" xfId="1">
      <alignment vertical="center"/>
    </xf>
    <xf numFmtId="0" fontId="19" fillId="10" borderId="0" applyAlignment="1" pivotButton="0" quotePrefix="0" xfId="1">
      <alignment vertical="center"/>
    </xf>
    <xf numFmtId="167" fontId="19" fillId="0" borderId="20" applyAlignment="1" pivotButton="0" quotePrefix="0" xfId="1">
      <alignment horizontal="right" vertical="center"/>
    </xf>
    <xf numFmtId="0" fontId="19" fillId="0" borderId="17" applyAlignment="1" pivotButton="0" quotePrefix="0" xfId="1">
      <alignment vertical="center"/>
    </xf>
    <xf numFmtId="167" fontId="20" fillId="0" borderId="20" applyAlignment="1" pivotButton="0" quotePrefix="0" xfId="2">
      <alignment horizontal="right" vertical="center"/>
    </xf>
    <xf numFmtId="167" fontId="19" fillId="0" borderId="19" applyAlignment="1" pivotButton="0" quotePrefix="0" xfId="2">
      <alignment horizontal="right" vertical="center"/>
    </xf>
    <xf numFmtId="167" fontId="19" fillId="0" borderId="58" applyAlignment="1" pivotButton="0" quotePrefix="0" xfId="2">
      <alignment horizontal="right" vertical="center"/>
    </xf>
    <xf numFmtId="0" fontId="20" fillId="10" borderId="27" applyAlignment="1" pivotButton="0" quotePrefix="0" xfId="1">
      <alignment horizontal="left" vertical="center"/>
    </xf>
    <xf numFmtId="167" fontId="19" fillId="0" borderId="8" applyAlignment="1" pivotButton="0" quotePrefix="0" xfId="1">
      <alignment horizontal="right" vertical="center"/>
    </xf>
    <xf numFmtId="0" fontId="19" fillId="0" borderId="23" applyAlignment="1" pivotButton="0" quotePrefix="0" xfId="1">
      <alignment vertical="center"/>
    </xf>
    <xf numFmtId="167" fontId="19" fillId="0" borderId="3" applyAlignment="1" pivotButton="0" quotePrefix="0" xfId="1">
      <alignment horizontal="right" vertical="center"/>
    </xf>
    <xf numFmtId="0" fontId="19" fillId="0" borderId="36" applyAlignment="1" pivotButton="0" quotePrefix="0" xfId="1">
      <alignment vertical="center"/>
    </xf>
    <xf numFmtId="167" fontId="19" fillId="10" borderId="27" applyAlignment="1" pivotButton="0" quotePrefix="0" xfId="1">
      <alignment horizontal="right" vertical="center"/>
    </xf>
    <xf numFmtId="167" fontId="19" fillId="0" borderId="28" applyAlignment="1" pivotButton="0" quotePrefix="0" xfId="1">
      <alignment horizontal="right" vertical="center"/>
    </xf>
    <xf numFmtId="0" fontId="26" fillId="0" borderId="17" applyAlignment="1" pivotButton="0" quotePrefix="0" xfId="1">
      <alignment vertical="center"/>
    </xf>
    <xf numFmtId="167" fontId="19" fillId="0" borderId="18" applyAlignment="1" pivotButton="0" quotePrefix="0" xfId="2">
      <alignment horizontal="right" vertical="center"/>
    </xf>
    <xf numFmtId="0" fontId="19" fillId="0" borderId="29" applyAlignment="1" pivotButton="0" quotePrefix="0" xfId="1">
      <alignment vertical="center"/>
    </xf>
    <xf numFmtId="167" fontId="19" fillId="0" borderId="27" applyAlignment="1" pivotButton="0" quotePrefix="0" xfId="1">
      <alignment horizontal="right" vertical="center"/>
    </xf>
    <xf numFmtId="167" fontId="20" fillId="0" borderId="27" applyAlignment="1" pivotButton="0" quotePrefix="0" xfId="2">
      <alignment horizontal="right" vertical="center"/>
    </xf>
    <xf numFmtId="167" fontId="19" fillId="0" borderId="25" applyAlignment="1" pivotButton="0" quotePrefix="0" xfId="2">
      <alignment horizontal="right" vertical="center"/>
    </xf>
    <xf numFmtId="167" fontId="19" fillId="0" borderId="64" applyAlignment="1" pivotButton="0" quotePrefix="0" xfId="2">
      <alignment horizontal="right" vertical="center"/>
    </xf>
    <xf numFmtId="0" fontId="26" fillId="10" borderId="17" applyAlignment="1" pivotButton="0" quotePrefix="0" xfId="1">
      <alignment vertical="center"/>
    </xf>
    <xf numFmtId="167" fontId="19" fillId="10" borderId="19" applyAlignment="1" pivotButton="0" quotePrefix="0" xfId="2">
      <alignment horizontal="right" vertical="center"/>
    </xf>
    <xf numFmtId="167" fontId="19" fillId="10" borderId="58" applyAlignment="1" pivotButton="0" quotePrefix="0" xfId="2">
      <alignment horizontal="right" vertical="center"/>
    </xf>
    <xf numFmtId="167" fontId="19" fillId="10" borderId="20" applyAlignment="1" pivotButton="0" quotePrefix="0" xfId="1">
      <alignment horizontal="right" vertical="center"/>
    </xf>
    <xf numFmtId="167" fontId="20" fillId="10" borderId="20" applyAlignment="1" pivotButton="0" quotePrefix="0" xfId="2">
      <alignment horizontal="right" vertical="center"/>
    </xf>
    <xf numFmtId="167" fontId="7" fillId="10" borderId="40" applyAlignment="1" pivotButton="0" quotePrefix="0" xfId="1">
      <alignment horizontal="right" vertical="center"/>
    </xf>
    <xf numFmtId="167" fontId="19" fillId="10" borderId="40" applyAlignment="1" pivotButton="0" quotePrefix="0" xfId="1">
      <alignment horizontal="right" vertical="center"/>
    </xf>
    <xf numFmtId="0" fontId="26" fillId="10" borderId="35" applyAlignment="1" pivotButton="0" quotePrefix="0" xfId="1">
      <alignment vertical="center"/>
    </xf>
    <xf numFmtId="167" fontId="19" fillId="10" borderId="66" applyAlignment="1" pivotButton="0" quotePrefix="0" xfId="2">
      <alignment horizontal="right" vertical="center"/>
    </xf>
    <xf numFmtId="0" fontId="28" fillId="0" borderId="1" applyAlignment="1" pivotButton="0" quotePrefix="0" xfId="1">
      <alignment vertical="center"/>
    </xf>
    <xf numFmtId="165" fontId="0" fillId="10" borderId="18" applyAlignment="1" pivotButton="0" quotePrefix="0" xfId="2">
      <alignment vertical="center"/>
    </xf>
    <xf numFmtId="165" fontId="0" fillId="10" borderId="21" applyAlignment="1" pivotButton="0" quotePrefix="0" xfId="2">
      <alignment vertical="center"/>
    </xf>
    <xf numFmtId="165" fontId="10" fillId="10" borderId="17" applyAlignment="1" pivotButton="0" quotePrefix="0" xfId="2">
      <alignment vertical="center"/>
    </xf>
    <xf numFmtId="166" fontId="0" fillId="10" borderId="18" applyAlignment="1" pivotButton="0" quotePrefix="0" xfId="2">
      <alignment vertical="center"/>
    </xf>
    <xf numFmtId="165" fontId="10" fillId="10" borderId="20" applyAlignment="1" pivotButton="0" quotePrefix="0" xfId="1">
      <alignment horizontal="center" vertical="center"/>
    </xf>
    <xf numFmtId="164" fontId="0" fillId="10" borderId="17" applyAlignment="1" pivotButton="0" quotePrefix="0" xfId="2">
      <alignment vertical="center"/>
    </xf>
    <xf numFmtId="165" fontId="10" fillId="10" borderId="18" applyAlignment="1" pivotButton="0" quotePrefix="0" xfId="2">
      <alignment vertical="center"/>
    </xf>
    <xf numFmtId="164" fontId="14" fillId="10" borderId="17" applyAlignment="1" pivotButton="0" quotePrefix="0" xfId="1">
      <alignment horizontal="center" vertical="center"/>
    </xf>
    <xf numFmtId="9" fontId="7" fillId="0" borderId="0" applyAlignment="1" pivotButton="0" quotePrefix="0" xfId="3">
      <alignment vertical="center"/>
    </xf>
    <xf numFmtId="165" fontId="7" fillId="10" borderId="24" applyAlignment="1" pivotButton="0" quotePrefix="0" xfId="1">
      <alignment horizontal="center" vertical="center"/>
    </xf>
    <xf numFmtId="165" fontId="0" fillId="10" borderId="27" applyAlignment="1" pivotButton="0" quotePrefix="0" xfId="2">
      <alignment horizontal="center" vertical="center"/>
    </xf>
    <xf numFmtId="165" fontId="10" fillId="10" borderId="20" applyAlignment="1" pivotButton="0" quotePrefix="0" xfId="2">
      <alignment vertical="center"/>
    </xf>
    <xf numFmtId="9" fontId="10" fillId="10" borderId="20" applyAlignment="1" pivotButton="0" quotePrefix="0" xfId="3">
      <alignment vertical="center"/>
    </xf>
    <xf numFmtId="165" fontId="7" fillId="10" borderId="18" applyAlignment="1" pivotButton="0" quotePrefix="0" xfId="1">
      <alignment horizontal="center" vertical="center"/>
    </xf>
    <xf numFmtId="165" fontId="0" fillId="10" borderId="20" applyAlignment="1" pivotButton="0" quotePrefix="0" xfId="2">
      <alignment horizontal="center" vertical="center"/>
    </xf>
    <xf numFmtId="0" fontId="7" fillId="10" borderId="27" applyAlignment="1" pivotButton="0" quotePrefix="0" xfId="1">
      <alignment vertical="center"/>
    </xf>
    <xf numFmtId="165" fontId="7" fillId="10" borderId="30" applyAlignment="1" pivotButton="0" quotePrefix="0" xfId="1">
      <alignment horizontal="center" vertical="center"/>
    </xf>
    <xf numFmtId="165" fontId="0" fillId="10" borderId="28" applyAlignment="1" pivotButton="0" quotePrefix="0" xfId="2">
      <alignment horizontal="center" vertical="center"/>
    </xf>
    <xf numFmtId="165" fontId="10" fillId="10" borderId="28" applyAlignment="1" pivotButton="0" quotePrefix="0" xfId="2">
      <alignment vertical="center"/>
    </xf>
    <xf numFmtId="9" fontId="10" fillId="10" borderId="28" applyAlignment="1" pivotButton="0" quotePrefix="0" xfId="3">
      <alignment vertical="center"/>
    </xf>
    <xf numFmtId="165" fontId="10" fillId="10" borderId="47" applyAlignment="1" pivotButton="0" quotePrefix="0" xfId="2">
      <alignment vertical="center"/>
    </xf>
    <xf numFmtId="9" fontId="10" fillId="10" borderId="47" applyAlignment="1" pivotButton="0" quotePrefix="0" xfId="3">
      <alignment vertical="center"/>
    </xf>
    <xf numFmtId="165" fontId="10" fillId="10" borderId="27" applyAlignment="1" pivotButton="0" quotePrefix="0" xfId="2">
      <alignment vertical="center"/>
    </xf>
    <xf numFmtId="9" fontId="10" fillId="10" borderId="27" applyAlignment="1" pivotButton="0" quotePrefix="0" xfId="3">
      <alignment vertical="center"/>
    </xf>
    <xf numFmtId="165" fontId="0" fillId="10" borderId="3" applyAlignment="1" pivotButton="0" quotePrefix="0" xfId="2">
      <alignment horizontal="center" vertical="center"/>
    </xf>
    <xf numFmtId="165" fontId="10" fillId="10" borderId="3" applyAlignment="1" pivotButton="0" quotePrefix="0" xfId="2">
      <alignment vertical="center"/>
    </xf>
    <xf numFmtId="9" fontId="10" fillId="10" borderId="3" applyAlignment="1" pivotButton="0" quotePrefix="0" xfId="3">
      <alignment vertical="center"/>
    </xf>
    <xf numFmtId="0" fontId="7" fillId="10" borderId="40" applyAlignment="1" pivotButton="0" quotePrefix="0" xfId="1">
      <alignment vertical="center"/>
    </xf>
    <xf numFmtId="165" fontId="7" fillId="10" borderId="33" applyAlignment="1" pivotButton="0" quotePrefix="0" xfId="1">
      <alignment horizontal="center" vertical="center"/>
    </xf>
    <xf numFmtId="165" fontId="0" fillId="10" borderId="40" applyAlignment="1" pivotButton="0" quotePrefix="0" xfId="2">
      <alignment horizontal="center" vertical="center"/>
    </xf>
    <xf numFmtId="165" fontId="10" fillId="10" borderId="40" applyAlignment="1" pivotButton="0" quotePrefix="0" xfId="2">
      <alignment vertical="center"/>
    </xf>
    <xf numFmtId="9" fontId="10" fillId="10" borderId="40" applyAlignment="1" pivotButton="0" quotePrefix="0" xfId="3">
      <alignment vertical="center"/>
    </xf>
    <xf numFmtId="165" fontId="10" fillId="10" borderId="8" applyAlignment="1" pivotButton="0" quotePrefix="0" xfId="2">
      <alignment vertical="center"/>
    </xf>
    <xf numFmtId="9" fontId="10" fillId="10" borderId="8" applyAlignment="1" pivotButton="0" quotePrefix="0" xfId="3">
      <alignment vertical="center"/>
    </xf>
    <xf numFmtId="0" fontId="7" fillId="10" borderId="3" applyAlignment="1" pivotButton="0" quotePrefix="0" xfId="1">
      <alignment vertical="center"/>
    </xf>
    <xf numFmtId="0" fontId="7" fillId="10" borderId="4" applyAlignment="1" pivotButton="0" quotePrefix="0" xfId="1">
      <alignment vertical="center"/>
    </xf>
    <xf numFmtId="165" fontId="7" fillId="10" borderId="5" applyAlignment="1" pivotButton="0" quotePrefix="0" xfId="1">
      <alignment horizontal="center" vertical="center"/>
    </xf>
    <xf numFmtId="165" fontId="7" fillId="10" borderId="1" applyAlignment="1" pivotButton="0" quotePrefix="0" xfId="1">
      <alignment horizontal="center" vertical="center"/>
    </xf>
    <xf numFmtId="165" fontId="0" fillId="10" borderId="12" applyAlignment="1" pivotButton="0" quotePrefix="0" xfId="2">
      <alignment horizontal="center" vertical="center"/>
    </xf>
    <xf numFmtId="165" fontId="10" fillId="10" borderId="12" applyAlignment="1" pivotButton="0" quotePrefix="0" xfId="2">
      <alignment vertical="center"/>
    </xf>
    <xf numFmtId="9" fontId="10" fillId="10" borderId="12" applyAlignment="1" pivotButton="0" quotePrefix="0" xfId="3">
      <alignment vertical="center"/>
    </xf>
    <xf numFmtId="0" fontId="20" fillId="10" borderId="17" applyAlignment="1" pivotButton="0" quotePrefix="0" xfId="1">
      <alignment horizontal="left" vertical="center"/>
    </xf>
    <xf numFmtId="165" fontId="7" fillId="10" borderId="17" applyAlignment="1" pivotButton="0" quotePrefix="0" xfId="1">
      <alignment horizontal="center" vertical="center"/>
    </xf>
    <xf numFmtId="167" fontId="19" fillId="10" borderId="64" applyAlignment="1" pivotButton="0" quotePrefix="0" xfId="2">
      <alignment horizontal="right" vertical="center"/>
    </xf>
    <xf numFmtId="167" fontId="19" fillId="10" borderId="25" applyAlignment="1" pivotButton="0" quotePrefix="0" xfId="2">
      <alignment horizontal="right" vertical="center"/>
    </xf>
    <xf numFmtId="167" fontId="20" fillId="10" borderId="27" applyAlignment="1" pivotButton="0" quotePrefix="0" xfId="2">
      <alignment horizontal="right" vertical="center"/>
    </xf>
    <xf numFmtId="167" fontId="19" fillId="10" borderId="41" applyAlignment="1" pivotButton="0" quotePrefix="0" xfId="2">
      <alignment horizontal="right" vertical="center"/>
    </xf>
    <xf numFmtId="167" fontId="19" fillId="10" borderId="31" applyAlignment="1" pivotButton="0" quotePrefix="0" xfId="2">
      <alignment horizontal="right" vertical="center"/>
    </xf>
    <xf numFmtId="167" fontId="20" fillId="10" borderId="28" applyAlignment="1" pivotButton="0" quotePrefix="0" xfId="2">
      <alignment horizontal="right" vertical="center"/>
    </xf>
    <xf numFmtId="167" fontId="19" fillId="10" borderId="28" applyAlignment="1" pivotButton="0" quotePrefix="0" xfId="1">
      <alignment horizontal="right" vertical="center"/>
    </xf>
    <xf numFmtId="167" fontId="19" fillId="10" borderId="18" applyAlignment="1" pivotButton="0" quotePrefix="0" xfId="2">
      <alignment horizontal="right" vertical="center"/>
    </xf>
    <xf numFmtId="167" fontId="19" fillId="10" borderId="16" applyAlignment="1" pivotButton="0" quotePrefix="0" xfId="2">
      <alignment horizontal="right" vertical="center"/>
    </xf>
    <xf numFmtId="167" fontId="19" fillId="10" borderId="11" applyAlignment="1" pivotButton="0" quotePrefix="0" xfId="2">
      <alignment horizontal="right" vertical="center"/>
    </xf>
    <xf numFmtId="167" fontId="20" fillId="10" borderId="12" applyAlignment="1" pivotButton="0" quotePrefix="0" xfId="2">
      <alignment horizontal="right" vertical="center"/>
    </xf>
    <xf numFmtId="167" fontId="19" fillId="10" borderId="12" applyAlignment="1" pivotButton="0" quotePrefix="0" xfId="1">
      <alignment horizontal="right" vertical="center"/>
    </xf>
    <xf numFmtId="0" fontId="5" fillId="11" borderId="0" applyAlignment="1" pivotButton="0" quotePrefix="0" xfId="0">
      <alignment horizontal="center" vertical="center"/>
    </xf>
    <xf numFmtId="0" fontId="20" fillId="0" borderId="20" applyAlignment="1" pivotButton="0" quotePrefix="0" xfId="1">
      <alignment horizontal="left" vertical="center"/>
    </xf>
    <xf numFmtId="164" fontId="14" fillId="0" borderId="23" applyAlignment="1" pivotButton="0" quotePrefix="0" xfId="1">
      <alignment horizontal="center" vertical="center"/>
    </xf>
    <xf numFmtId="167" fontId="19" fillId="10" borderId="24" applyAlignment="1" pivotButton="0" quotePrefix="0" xfId="2">
      <alignment horizontal="right" vertical="center"/>
    </xf>
    <xf numFmtId="0" fontId="26" fillId="0" borderId="23" applyAlignment="1" pivotButton="0" quotePrefix="0" xfId="1">
      <alignment vertical="center"/>
    </xf>
    <xf numFmtId="49" fontId="16" fillId="10" borderId="17" applyAlignment="1" pivotButton="0" quotePrefix="0" xfId="2">
      <alignment horizontal="center" vertical="center"/>
    </xf>
    <xf numFmtId="0" fontId="20" fillId="10" borderId="35" applyAlignment="1" pivotButton="0" quotePrefix="0" xfId="1">
      <alignment horizontal="left" vertical="center"/>
    </xf>
    <xf numFmtId="165" fontId="7" fillId="10" borderId="35" applyAlignment="1" pivotButton="0" quotePrefix="0" xfId="1">
      <alignment horizontal="center" vertical="center"/>
    </xf>
    <xf numFmtId="165" fontId="0" fillId="10" borderId="35" applyAlignment="1" pivotButton="0" quotePrefix="0" xfId="2">
      <alignment horizontal="center" vertical="center"/>
    </xf>
    <xf numFmtId="166" fontId="0" fillId="0" borderId="48" applyAlignment="1" pivotButton="0" quotePrefix="0" xfId="2">
      <alignment vertical="center"/>
    </xf>
    <xf numFmtId="164" fontId="0" fillId="0" borderId="35" applyAlignment="1" pivotButton="0" quotePrefix="0" xfId="2">
      <alignment vertical="center"/>
    </xf>
    <xf numFmtId="164" fontId="14" fillId="0" borderId="47" applyAlignment="1" pivotButton="0" quotePrefix="0" xfId="1">
      <alignment horizontal="center" vertical="center"/>
    </xf>
    <xf numFmtId="3" fontId="22" fillId="0" borderId="68" applyAlignment="1" applyProtection="1" pivotButton="0" quotePrefix="0" xfId="1">
      <alignment horizontal="right" vertical="center"/>
      <protection locked="0" hidden="0"/>
    </xf>
    <xf numFmtId="0" fontId="22" fillId="10" borderId="67" applyAlignment="1" pivotButton="0" quotePrefix="0" xfId="1">
      <alignment horizontal="left" vertical="center"/>
    </xf>
    <xf numFmtId="0" fontId="22" fillId="10" borderId="69" applyAlignment="1" pivotButton="0" quotePrefix="0" xfId="1">
      <alignment horizontal="left" vertical="center"/>
    </xf>
    <xf numFmtId="0" fontId="22" fillId="10" borderId="70" applyAlignment="1" pivotButton="0" quotePrefix="0" xfId="1">
      <alignment horizontal="left" vertical="center"/>
    </xf>
    <xf numFmtId="0" fontId="22" fillId="10" borderId="71" applyAlignment="1" pivotButton="0" quotePrefix="0" xfId="1">
      <alignment horizontal="left" vertical="center"/>
    </xf>
    <xf numFmtId="0" fontId="19" fillId="10" borderId="17" applyAlignment="1" pivotButton="0" quotePrefix="0" xfId="1">
      <alignment vertical="center"/>
    </xf>
    <xf numFmtId="0" fontId="19" fillId="10" borderId="23" applyAlignment="1" pivotButton="0" quotePrefix="0" xfId="1">
      <alignment vertical="center"/>
    </xf>
    <xf numFmtId="167" fontId="19" fillId="10" borderId="60" applyAlignment="1" pivotButton="0" quotePrefix="0" xfId="2">
      <alignment horizontal="right" vertical="center"/>
    </xf>
    <xf numFmtId="167" fontId="19" fillId="10" borderId="7" applyAlignment="1" pivotButton="0" quotePrefix="0" xfId="2">
      <alignment horizontal="right" vertical="center"/>
    </xf>
    <xf numFmtId="167" fontId="20" fillId="10" borderId="8" applyAlignment="1" pivotButton="0" quotePrefix="0" xfId="2">
      <alignment horizontal="right" vertical="center"/>
    </xf>
    <xf numFmtId="167" fontId="19" fillId="10" borderId="8" applyAlignment="1" pivotButton="0" quotePrefix="0" xfId="1">
      <alignment horizontal="right" vertical="center"/>
    </xf>
    <xf numFmtId="0" fontId="32" fillId="10" borderId="17" applyAlignment="1" pivotButton="0" quotePrefix="0" xfId="1">
      <alignment vertical="center"/>
    </xf>
    <xf numFmtId="166" fontId="0" fillId="0" borderId="33" applyAlignment="1" pivotButton="0" quotePrefix="0" xfId="2">
      <alignment vertical="center"/>
    </xf>
    <xf numFmtId="165" fontId="10" fillId="0" borderId="33" applyAlignment="1" pivotButton="0" quotePrefix="0" xfId="2">
      <alignment vertical="center"/>
    </xf>
    <xf numFmtId="167" fontId="10" fillId="9" borderId="72" applyAlignment="1" pivotButton="0" quotePrefix="0" xfId="1">
      <alignment horizontal="center" vertical="center"/>
    </xf>
    <xf numFmtId="167" fontId="10" fillId="9" borderId="45" applyAlignment="1" pivotButton="0" quotePrefix="0" xfId="1">
      <alignment horizontal="center" vertical="center"/>
    </xf>
    <xf numFmtId="167" fontId="10" fillId="9" borderId="6" applyAlignment="1" pivotButton="0" quotePrefix="0" xfId="1">
      <alignment horizontal="center" vertical="center"/>
    </xf>
    <xf numFmtId="167" fontId="10" fillId="9" borderId="44" applyAlignment="1" pivotButton="0" quotePrefix="0" xfId="1">
      <alignment horizontal="center" vertical="center"/>
    </xf>
    <xf numFmtId="164" fontId="13" fillId="9" borderId="6" applyAlignment="1" pivotButton="0" quotePrefix="0" xfId="1">
      <alignment horizontal="center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167" fontId="19" fillId="0" borderId="24" applyAlignment="1" pivotButton="0" quotePrefix="0" xfId="2">
      <alignment horizontal="right" vertical="center"/>
    </xf>
    <xf numFmtId="0" fontId="20" fillId="0" borderId="47" applyAlignment="1" pivotButton="0" quotePrefix="0" xfId="1">
      <alignment horizontal="left" vertical="center"/>
    </xf>
    <xf numFmtId="0" fontId="34" fillId="0" borderId="0" applyAlignment="1" pivotButton="0" quotePrefix="0" xfId="4">
      <alignment vertical="center"/>
    </xf>
    <xf numFmtId="167" fontId="10" fillId="9" borderId="61" applyAlignment="1" pivotButton="0" quotePrefix="0" xfId="1">
      <alignment horizontal="center" vertical="center" wrapText="1"/>
    </xf>
    <xf numFmtId="165" fontId="10" fillId="10" borderId="8" applyAlignment="1" pivotButton="0" quotePrefix="0" xfId="1">
      <alignment horizontal="center" vertical="center"/>
    </xf>
    <xf numFmtId="165" fontId="10" fillId="10" borderId="47" applyAlignment="1" pivotButton="0" quotePrefix="0" xfId="1">
      <alignment horizontal="center" vertical="center"/>
    </xf>
    <xf numFmtId="0" fontId="5" fillId="6" borderId="0" applyAlignment="1" pivotButton="0" quotePrefix="0" xfId="0">
      <alignment horizontal="center" vertical="center"/>
    </xf>
    <xf numFmtId="165" fontId="0" fillId="10" borderId="48" applyAlignment="1" pivotButton="0" quotePrefix="0" xfId="2">
      <alignment horizontal="center" vertical="center"/>
    </xf>
    <xf numFmtId="165" fontId="0" fillId="10" borderId="34" applyAlignment="1" pivotButton="0" quotePrefix="0" xfId="2">
      <alignment horizontal="center" vertical="center"/>
    </xf>
    <xf numFmtId="49" fontId="0" fillId="10" borderId="35" applyAlignment="1" pivotButton="0" quotePrefix="0" xfId="2">
      <alignment horizontal="center" vertical="center"/>
    </xf>
    <xf numFmtId="0" fontId="22" fillId="10" borderId="73" applyAlignment="1" pivotButton="0" quotePrefix="0" xfId="1">
      <alignment horizontal="left" vertical="center"/>
    </xf>
    <xf numFmtId="0" fontId="15" fillId="10" borderId="23" applyAlignment="1" pivotButton="0" quotePrefix="0" xfId="1">
      <alignment vertical="center"/>
    </xf>
    <xf numFmtId="165" fontId="16" fillId="10" borderId="24" applyAlignment="1" pivotButton="0" quotePrefix="0" xfId="1">
      <alignment horizontal="center" vertical="center"/>
    </xf>
    <xf numFmtId="165" fontId="16" fillId="10" borderId="27" applyAlignment="1" pivotButton="0" quotePrefix="0" xfId="2">
      <alignment horizontal="center" vertical="center"/>
    </xf>
    <xf numFmtId="165" fontId="35" fillId="10" borderId="20" applyAlignment="1" pivotButton="0" quotePrefix="0" xfId="2">
      <alignment vertical="center"/>
    </xf>
    <xf numFmtId="9" fontId="35" fillId="10" borderId="20" applyAlignment="1" pivotButton="0" quotePrefix="0" xfId="3">
      <alignment vertical="center"/>
    </xf>
    <xf numFmtId="165" fontId="16" fillId="10" borderId="18" applyAlignment="1" pivotButton="0" quotePrefix="0" xfId="2">
      <alignment vertical="center"/>
    </xf>
    <xf numFmtId="165" fontId="16" fillId="10" borderId="21" applyAlignment="1" pivotButton="0" quotePrefix="0" xfId="2">
      <alignment vertical="center"/>
    </xf>
    <xf numFmtId="165" fontId="35" fillId="10" borderId="17" applyAlignment="1" pivotButton="0" quotePrefix="0" xfId="2">
      <alignment vertical="center"/>
    </xf>
    <xf numFmtId="168" fontId="19" fillId="10" borderId="23" applyAlignment="1" pivotButton="0" quotePrefix="0" xfId="1">
      <alignment vertical="center"/>
    </xf>
    <xf numFmtId="168" fontId="19" fillId="0" borderId="23" applyAlignment="1" pivotButton="0" quotePrefix="1" xfId="1">
      <alignment vertical="center"/>
    </xf>
    <xf numFmtId="165" fontId="10" fillId="0" borderId="8" applyAlignment="1" pivotButton="0" quotePrefix="0" xfId="1">
      <alignment horizontal="center" vertical="center"/>
    </xf>
    <xf numFmtId="0" fontId="22" fillId="10" borderId="74" applyAlignment="1" pivotButton="0" quotePrefix="0" xfId="1">
      <alignment horizontal="left" vertical="center"/>
    </xf>
    <xf numFmtId="0" fontId="22" fillId="10" borderId="75" applyAlignment="1" pivotButton="0" quotePrefix="0" xfId="1">
      <alignment horizontal="left" vertical="center"/>
    </xf>
    <xf numFmtId="0" fontId="22" fillId="0" borderId="76" applyAlignment="1" applyProtection="1" pivotButton="0" quotePrefix="0" xfId="0">
      <alignment horizontal="left" vertical="center"/>
      <protection locked="0" hidden="0"/>
    </xf>
    <xf numFmtId="164" fontId="14" fillId="10" borderId="47" applyAlignment="1" pivotButton="0" quotePrefix="0" xfId="1">
      <alignment horizontal="center" vertical="center"/>
    </xf>
    <xf numFmtId="165" fontId="10" fillId="0" borderId="24" applyAlignment="1" pivotButton="0" quotePrefix="0" xfId="2">
      <alignment vertical="center"/>
    </xf>
    <xf numFmtId="0" fontId="22" fillId="0" borderId="76" applyAlignment="1" applyProtection="1" pivotButton="0" quotePrefix="0" xfId="1">
      <alignment horizontal="left" vertical="center"/>
      <protection locked="0" hidden="0"/>
    </xf>
    <xf numFmtId="3" fontId="22" fillId="0" borderId="76" applyAlignment="1" applyProtection="1" pivotButton="0" quotePrefix="0" xfId="1">
      <alignment horizontal="right" vertical="center"/>
      <protection locked="0" hidden="0"/>
    </xf>
    <xf numFmtId="0" fontId="7" fillId="0" borderId="76" applyAlignment="1" pivotButton="0" quotePrefix="0" xfId="1">
      <alignment vertical="center"/>
    </xf>
    <xf numFmtId="165" fontId="10" fillId="10" borderId="28" applyAlignment="1" pivotButton="0" quotePrefix="0" xfId="1">
      <alignment horizontal="center" vertical="center"/>
    </xf>
    <xf numFmtId="0" fontId="19" fillId="10" borderId="9" applyAlignment="1" pivotButton="0" quotePrefix="0" xfId="1">
      <alignment vertical="center"/>
    </xf>
    <xf numFmtId="3" fontId="22" fillId="0" borderId="77" applyAlignment="1" applyProtection="1" pivotButton="0" quotePrefix="0" xfId="1">
      <alignment horizontal="right" vertical="center"/>
      <protection locked="0" hidden="0"/>
    </xf>
    <xf numFmtId="0" fontId="22" fillId="0" borderId="77" applyAlignment="1" applyProtection="1" pivotButton="0" quotePrefix="0" xfId="1">
      <alignment horizontal="left" vertical="center"/>
      <protection locked="0" hidden="0"/>
    </xf>
    <xf numFmtId="165" fontId="0" fillId="10" borderId="48" applyAlignment="1" pivotButton="0" quotePrefix="0" xfId="2">
      <alignment vertical="center"/>
    </xf>
    <xf numFmtId="165" fontId="0" fillId="10" borderId="34" applyAlignment="1" pivotButton="0" quotePrefix="0" xfId="2">
      <alignment vertical="center"/>
    </xf>
    <xf numFmtId="165" fontId="10" fillId="10" borderId="35" applyAlignment="1" pivotButton="0" quotePrefix="0" xfId="2">
      <alignment vertical="center"/>
    </xf>
    <xf numFmtId="164" fontId="0" fillId="10" borderId="35" applyAlignment="1" pivotButton="0" quotePrefix="0" xfId="2">
      <alignment vertical="center"/>
    </xf>
    <xf numFmtId="0" fontId="22" fillId="10" borderId="78" applyAlignment="1" pivotButton="0" quotePrefix="0" xfId="1">
      <alignment horizontal="left" vertical="center"/>
    </xf>
    <xf numFmtId="0" fontId="22" fillId="10" borderId="79" applyAlignment="1" pivotButton="0" quotePrefix="0" xfId="1">
      <alignment horizontal="left" vertical="center"/>
    </xf>
    <xf numFmtId="0" fontId="22" fillId="10" borderId="80" applyAlignment="1" pivotButton="0" quotePrefix="0" xfId="1">
      <alignment horizontal="left" vertical="center"/>
    </xf>
    <xf numFmtId="0" fontId="22" fillId="10" borderId="81" applyAlignment="1" pivotButton="0" quotePrefix="0" xfId="1">
      <alignment horizontal="left" vertical="center"/>
    </xf>
    <xf numFmtId="169" fontId="4" fillId="0" borderId="0" applyAlignment="1" pivotButton="0" quotePrefix="0" xfId="0">
      <alignment horizontal="center" vertical="center"/>
    </xf>
    <xf numFmtId="164" fontId="14" fillId="10" borderId="27" applyAlignment="1" pivotButton="0" quotePrefix="0" xfId="1">
      <alignment horizontal="center" vertical="center"/>
    </xf>
    <xf numFmtId="164" fontId="14" fillId="10" borderId="20" applyAlignment="1" pivotButton="0" quotePrefix="0" xfId="1">
      <alignment horizontal="center" vertical="center"/>
    </xf>
    <xf numFmtId="49" fontId="0" fillId="6" borderId="23" applyAlignment="1" pivotButton="0" quotePrefix="0" xfId="2">
      <alignment horizontal="center" vertical="center"/>
    </xf>
    <xf numFmtId="165" fontId="0" fillId="10" borderId="22" applyAlignment="1" pivotButton="0" quotePrefix="0" xfId="2">
      <alignment horizontal="center" vertical="center"/>
    </xf>
    <xf numFmtId="165" fontId="0" fillId="10" borderId="36" applyAlignment="1" pivotButton="0" quotePrefix="0" xfId="2">
      <alignment horizontal="center" vertical="center"/>
    </xf>
    <xf numFmtId="3" fontId="7" fillId="0" borderId="76" applyAlignment="1" pivotButton="0" quotePrefix="0" xfId="1">
      <alignment vertical="center"/>
    </xf>
    <xf numFmtId="167" fontId="19" fillId="10" borderId="82" applyAlignment="1" pivotButton="0" quotePrefix="0" xfId="2">
      <alignment horizontal="right" vertical="center"/>
    </xf>
    <xf numFmtId="167" fontId="19" fillId="10" borderId="39" applyAlignment="1" pivotButton="0" quotePrefix="0" xfId="2">
      <alignment horizontal="right" vertical="center"/>
    </xf>
    <xf numFmtId="167" fontId="20" fillId="10" borderId="40" applyAlignment="1" pivotButton="0" quotePrefix="0" xfId="2">
      <alignment horizontal="right" vertical="center"/>
    </xf>
    <xf numFmtId="0" fontId="7" fillId="10" borderId="36" applyAlignment="1" pivotButton="0" quotePrefix="0" xfId="1">
      <alignment vertical="center"/>
    </xf>
    <xf numFmtId="167" fontId="19" fillId="0" borderId="40" applyAlignment="1" pivotButton="0" quotePrefix="0" xfId="1">
      <alignment horizontal="right" vertical="center"/>
    </xf>
    <xf numFmtId="165" fontId="0" fillId="10" borderId="33" applyAlignment="1" pivotButton="0" quotePrefix="0" xfId="2">
      <alignment horizontal="center" vertical="center"/>
    </xf>
    <xf numFmtId="49" fontId="0" fillId="10" borderId="36" applyAlignment="1" pivotButton="0" quotePrefix="0" xfId="2">
      <alignment horizontal="center" vertical="center"/>
    </xf>
    <xf numFmtId="165" fontId="10" fillId="10" borderId="27" applyAlignment="1" pivotButton="0" quotePrefix="0" xfId="1">
      <alignment horizontal="center" vertical="center"/>
    </xf>
    <xf numFmtId="0" fontId="19" fillId="0" borderId="40" applyAlignment="1" pivotButton="0" quotePrefix="0" xfId="1">
      <alignment vertical="center"/>
    </xf>
    <xf numFmtId="0" fontId="19" fillId="0" borderId="20" applyAlignment="1" pivotButton="0" quotePrefix="0" xfId="1">
      <alignment vertical="center"/>
    </xf>
    <xf numFmtId="165" fontId="0" fillId="10" borderId="25" applyAlignment="1" pivotButton="0" quotePrefix="0" xfId="2">
      <alignment horizontal="center" vertical="center"/>
    </xf>
    <xf numFmtId="165" fontId="0" fillId="10" borderId="26" applyAlignment="1" pivotButton="0" quotePrefix="0" xfId="2">
      <alignment horizontal="center" vertical="center"/>
    </xf>
    <xf numFmtId="165" fontId="0" fillId="10" borderId="23" applyAlignment="1" pivotButton="0" quotePrefix="0" xfId="2">
      <alignment horizontal="center" vertical="center"/>
    </xf>
    <xf numFmtId="165" fontId="0" fillId="10" borderId="24" applyAlignment="1" pivotButton="0" quotePrefix="0" xfId="2">
      <alignment horizontal="center" vertical="center"/>
    </xf>
    <xf numFmtId="49" fontId="0" fillId="10" borderId="23" applyAlignment="1" pivotButton="0" quotePrefix="0" xfId="2">
      <alignment horizontal="center" vertical="center"/>
    </xf>
    <xf numFmtId="167" fontId="16" fillId="0" borderId="20" applyAlignment="1" pivotButton="0" quotePrefix="0" xfId="1">
      <alignment horizontal="right" vertical="center"/>
    </xf>
    <xf numFmtId="0" fontId="16" fillId="0" borderId="17" applyAlignment="1" pivotButton="0" quotePrefix="0" xfId="1">
      <alignment vertical="center"/>
    </xf>
    <xf numFmtId="164" fontId="14" fillId="0" borderId="13" applyAlignment="1" pivotButton="0" quotePrefix="0" xfId="1">
      <alignment horizontal="center" vertical="center"/>
    </xf>
    <xf numFmtId="0" fontId="37" fillId="0" borderId="76" applyAlignment="1" applyProtection="1" pivotButton="0" quotePrefix="0" xfId="1">
      <alignment horizontal="left" vertical="center"/>
      <protection locked="0" hidden="0"/>
    </xf>
    <xf numFmtId="0" fontId="38" fillId="10" borderId="17" applyAlignment="1" pivotButton="0" quotePrefix="0" xfId="1">
      <alignment vertical="center"/>
    </xf>
    <xf numFmtId="0" fontId="40" fillId="10" borderId="75" applyAlignment="1" pivotButton="0" quotePrefix="0" xfId="1">
      <alignment horizontal="left" vertical="center"/>
    </xf>
    <xf numFmtId="165" fontId="10" fillId="10" borderId="3" applyAlignment="1" pivotButton="0" quotePrefix="0" xfId="1">
      <alignment horizontal="center" vertical="center"/>
    </xf>
    <xf numFmtId="170" fontId="10" fillId="10" borderId="40" applyAlignment="1" pivotButton="0" quotePrefix="0" xfId="2">
      <alignment vertical="center"/>
    </xf>
    <xf numFmtId="170" fontId="10" fillId="10" borderId="20" applyAlignment="1" pivotButton="0" quotePrefix="0" xfId="2">
      <alignment vertical="center"/>
    </xf>
    <xf numFmtId="170" fontId="10" fillId="10" borderId="28" applyAlignment="1" pivotButton="0" quotePrefix="0" xfId="2">
      <alignment vertical="center"/>
    </xf>
    <xf numFmtId="170" fontId="10" fillId="10" borderId="47" applyAlignment="1" pivotButton="0" quotePrefix="0" xfId="2">
      <alignment vertical="center"/>
    </xf>
    <xf numFmtId="170" fontId="10" fillId="10" borderId="27" applyAlignment="1" pivotButton="0" quotePrefix="0" xfId="2">
      <alignment vertical="center"/>
    </xf>
    <xf numFmtId="170" fontId="35" fillId="10" borderId="20" applyAlignment="1" pivotButton="0" quotePrefix="0" xfId="2">
      <alignment vertical="center"/>
    </xf>
    <xf numFmtId="170" fontId="10" fillId="10" borderId="3" applyAlignment="1" pivotButton="0" quotePrefix="0" xfId="2">
      <alignment vertical="center"/>
    </xf>
    <xf numFmtId="170" fontId="10" fillId="10" borderId="8" applyAlignment="1" pivotButton="0" quotePrefix="0" xfId="2">
      <alignment vertical="center"/>
    </xf>
    <xf numFmtId="170" fontId="10" fillId="10" borderId="12" applyAlignment="1" pivotButton="0" quotePrefix="0" xfId="2">
      <alignment vertical="center"/>
    </xf>
    <xf numFmtId="165" fontId="0" fillId="0" borderId="5" applyAlignment="1" pivotButton="0" quotePrefix="0" xfId="2">
      <alignment vertical="center"/>
    </xf>
    <xf numFmtId="165" fontId="0" fillId="0" borderId="10" applyAlignment="1" pivotButton="0" quotePrefix="0" xfId="2">
      <alignment vertical="center"/>
    </xf>
    <xf numFmtId="165" fontId="10" fillId="0" borderId="5" applyAlignment="1" pivotButton="0" quotePrefix="0" xfId="2">
      <alignment vertical="center"/>
    </xf>
    <xf numFmtId="164" fontId="14" fillId="0" borderId="3" applyAlignment="1" pivotButton="0" quotePrefix="0" xfId="1">
      <alignment horizontal="center" vertical="center"/>
    </xf>
    <xf numFmtId="167" fontId="7" fillId="0" borderId="37" applyAlignment="1" pivotButton="0" quotePrefix="0" xfId="1">
      <alignment vertical="center"/>
    </xf>
    <xf numFmtId="165" fontId="0" fillId="0" borderId="9" applyAlignment="1" pivotButton="0" quotePrefix="0" xfId="2">
      <alignment vertical="center"/>
    </xf>
    <xf numFmtId="0" fontId="7" fillId="0" borderId="17" applyAlignment="1" pivotButton="0" quotePrefix="0" xfId="1">
      <alignment vertical="center"/>
    </xf>
    <xf numFmtId="9" fontId="7" fillId="0" borderId="0" applyAlignment="1" pivotButton="0" quotePrefix="0" xfId="3">
      <alignment vertical="center"/>
    </xf>
    <xf numFmtId="0" fontId="43" fillId="0" borderId="0" applyAlignment="1" pivotButton="0" quotePrefix="0" xfId="0">
      <alignment horizontal="left" vertical="center"/>
    </xf>
    <xf numFmtId="0" fontId="43" fillId="0" borderId="76" applyAlignment="1" pivotButton="0" quotePrefix="0" xfId="0">
      <alignment horizontal="left" vertical="center"/>
    </xf>
    <xf numFmtId="0" fontId="44" fillId="0" borderId="76" applyAlignment="1" pivotButton="0" quotePrefix="0" xfId="0">
      <alignment horizontal="left" vertical="center"/>
    </xf>
    <xf numFmtId="0" fontId="44" fillId="0" borderId="76" applyAlignment="1" pivotButton="0" quotePrefix="0" xfId="0">
      <alignment horizontal="right" vertical="center"/>
    </xf>
    <xf numFmtId="3" fontId="44" fillId="0" borderId="76" applyAlignment="1" pivotButton="0" quotePrefix="0" xfId="0">
      <alignment horizontal="right" vertical="center"/>
    </xf>
    <xf numFmtId="0" fontId="44" fillId="0" borderId="76" applyAlignment="1" pivotButton="0" quotePrefix="0" xfId="0">
      <alignment horizontal="center" vertical="center"/>
    </xf>
    <xf numFmtId="0" fontId="41" fillId="10" borderId="40" applyAlignment="1" applyProtection="1" pivotButton="0" quotePrefix="0" xfId="0">
      <alignment horizontal="left" vertical="center"/>
      <protection locked="0" hidden="0"/>
    </xf>
    <xf numFmtId="165" fontId="15" fillId="10" borderId="3" applyAlignment="1" pivotButton="0" quotePrefix="0" xfId="2">
      <alignment horizontal="center" vertical="center"/>
    </xf>
    <xf numFmtId="165" fontId="10" fillId="10" borderId="40" applyAlignment="1" pivotButton="0" quotePrefix="0" xfId="1">
      <alignment horizontal="center" vertical="center"/>
    </xf>
    <xf numFmtId="0" fontId="42" fillId="0" borderId="40" applyAlignment="1" applyProtection="1" pivotButton="0" quotePrefix="0" xfId="0">
      <alignment horizontal="left" vertical="center"/>
      <protection locked="0" hidden="0"/>
    </xf>
    <xf numFmtId="167" fontId="19" fillId="0" borderId="5" applyAlignment="1" pivotButton="0" quotePrefix="0" xfId="2">
      <alignment horizontal="right" vertical="center"/>
    </xf>
    <xf numFmtId="167" fontId="19" fillId="0" borderId="2" applyAlignment="1" pivotButton="0" quotePrefix="0" xfId="2">
      <alignment horizontal="right" vertical="center"/>
    </xf>
    <xf numFmtId="167" fontId="20" fillId="0" borderId="3" applyAlignment="1" pivotButton="0" quotePrefix="0" xfId="2">
      <alignment horizontal="right" vertical="center"/>
    </xf>
    <xf numFmtId="165" fontId="0" fillId="0" borderId="0" applyAlignment="1" pivotButton="0" quotePrefix="0" xfId="2">
      <alignment vertical="center"/>
    </xf>
    <xf numFmtId="165" fontId="45" fillId="0" borderId="76" applyAlignment="1" pivotButton="0" quotePrefix="0" xfId="2">
      <alignment vertical="center"/>
    </xf>
    <xf numFmtId="165" fontId="45" fillId="0" borderId="83" applyAlignment="1" pivotButton="0" quotePrefix="0" xfId="2">
      <alignment vertical="center"/>
    </xf>
    <xf numFmtId="165" fontId="45" fillId="0" borderId="77" applyAlignment="1" pivotButton="0" quotePrefix="0" xfId="2">
      <alignment vertical="center"/>
    </xf>
    <xf numFmtId="165" fontId="45" fillId="10" borderId="76" applyAlignment="1" pivotButton="0" quotePrefix="0" xfId="2">
      <alignment vertical="center"/>
    </xf>
    <xf numFmtId="165" fontId="22" fillId="10" borderId="76" applyAlignment="1" pivotButton="0" quotePrefix="0" xfId="2">
      <alignment horizontal="right" vertical="center"/>
    </xf>
    <xf numFmtId="165" fontId="22" fillId="0" borderId="76" applyAlignment="1" pivotButton="0" quotePrefix="0" xfId="2">
      <alignment horizontal="right" vertical="center"/>
    </xf>
    <xf numFmtId="170" fontId="7" fillId="0" borderId="0" applyAlignment="1" pivotButton="0" quotePrefix="0" xfId="1">
      <alignment vertical="center"/>
    </xf>
    <xf numFmtId="165" fontId="21" fillId="0" borderId="76" applyAlignment="1" pivotButton="0" quotePrefix="0" xfId="2">
      <alignment horizontal="center" vertical="center"/>
    </xf>
    <xf numFmtId="165" fontId="0" fillId="10" borderId="39" applyAlignment="1" pivotButton="0" quotePrefix="0" xfId="2">
      <alignment vertical="center"/>
    </xf>
    <xf numFmtId="165" fontId="0" fillId="10" borderId="19" applyAlignment="1" pivotButton="0" quotePrefix="0" xfId="2">
      <alignment vertical="center"/>
    </xf>
    <xf numFmtId="165" fontId="0" fillId="10" borderId="25" applyAlignment="1" pivotButton="0" quotePrefix="0" xfId="2">
      <alignment vertical="center"/>
    </xf>
    <xf numFmtId="165" fontId="16" fillId="10" borderId="25" applyAlignment="1" pivotButton="0" quotePrefix="0" xfId="2">
      <alignment vertical="center"/>
    </xf>
    <xf numFmtId="165" fontId="19" fillId="10" borderId="2" applyAlignment="1" pivotButton="0" quotePrefix="0" xfId="2">
      <alignment vertical="center"/>
    </xf>
    <xf numFmtId="165" fontId="19" fillId="10" borderId="25" applyAlignment="1" pivotButton="0" quotePrefix="0" xfId="2">
      <alignment vertical="center"/>
    </xf>
    <xf numFmtId="165" fontId="19" fillId="10" borderId="31" applyAlignment="1" pivotButton="0" quotePrefix="0" xfId="2">
      <alignment vertical="center"/>
    </xf>
    <xf numFmtId="165" fontId="0" fillId="10" borderId="20" applyAlignment="1" pivotButton="0" quotePrefix="0" xfId="2">
      <alignment vertical="center"/>
    </xf>
    <xf numFmtId="165" fontId="0" fillId="10" borderId="8" applyAlignment="1" pivotButton="0" quotePrefix="0" xfId="2">
      <alignment vertical="center"/>
    </xf>
    <xf numFmtId="165" fontId="19" fillId="10" borderId="20" applyAlignment="1" pivotButton="0" quotePrefix="0" xfId="2">
      <alignment horizontal="right" vertical="center"/>
    </xf>
    <xf numFmtId="165" fontId="19" fillId="10" borderId="27" applyAlignment="1" pivotButton="0" quotePrefix="0" xfId="2">
      <alignment horizontal="right" vertical="center"/>
    </xf>
    <xf numFmtId="165" fontId="16" fillId="10" borderId="20" applyAlignment="1" pivotButton="0" quotePrefix="0" xfId="2">
      <alignment horizontal="right" vertical="center"/>
    </xf>
    <xf numFmtId="165" fontId="0" fillId="10" borderId="47" applyAlignment="1" pivotButton="0" quotePrefix="0" xfId="2">
      <alignment vertical="center"/>
    </xf>
    <xf numFmtId="167" fontId="19" fillId="0" borderId="30" applyAlignment="1" pivotButton="0" quotePrefix="0" xfId="2">
      <alignment horizontal="right" vertical="center"/>
    </xf>
    <xf numFmtId="167" fontId="20" fillId="0" borderId="28" applyAlignment="1" pivotButton="0" quotePrefix="0" xfId="2">
      <alignment horizontal="right" vertical="center"/>
    </xf>
    <xf numFmtId="165" fontId="10" fillId="0" borderId="27" applyAlignment="1" pivotButton="0" quotePrefix="0" xfId="2">
      <alignment vertical="center"/>
    </xf>
    <xf numFmtId="165" fontId="10" fillId="0" borderId="20" applyAlignment="1" pivotButton="0" quotePrefix="0" xfId="2">
      <alignment vertical="center"/>
    </xf>
    <xf numFmtId="165" fontId="10" fillId="0" borderId="12" applyAlignment="1" pivotButton="0" quotePrefix="0" xfId="2">
      <alignment vertical="center"/>
    </xf>
    <xf numFmtId="3" fontId="7" fillId="12" borderId="84" applyAlignment="1" pivotButton="0" quotePrefix="0" xfId="5">
      <alignment vertical="center"/>
    </xf>
    <xf numFmtId="167" fontId="46" fillId="10" borderId="40" applyAlignment="1" pivotButton="0" quotePrefix="0" xfId="1">
      <alignment horizontal="right" vertical="center"/>
    </xf>
    <xf numFmtId="167" fontId="46" fillId="0" borderId="19" applyAlignment="1" pivotButton="0" quotePrefix="0" xfId="2">
      <alignment horizontal="right" vertical="center"/>
    </xf>
    <xf numFmtId="167" fontId="46" fillId="10" borderId="19" applyAlignment="1" pivotButton="0" quotePrefix="0" xfId="2">
      <alignment horizontal="right" vertical="center"/>
    </xf>
    <xf numFmtId="167" fontId="46" fillId="0" borderId="25" applyAlignment="1" pivotButton="0" quotePrefix="0" xfId="2">
      <alignment horizontal="right" vertical="center"/>
    </xf>
    <xf numFmtId="167" fontId="46" fillId="0" borderId="2" applyAlignment="1" pivotButton="0" quotePrefix="0" xfId="2">
      <alignment horizontal="right" vertical="center"/>
    </xf>
    <xf numFmtId="167" fontId="46" fillId="10" borderId="25" applyAlignment="1" pivotButton="0" quotePrefix="0" xfId="2">
      <alignment horizontal="right" vertical="center"/>
    </xf>
    <xf numFmtId="167" fontId="46" fillId="10" borderId="11" applyAlignment="1" pivotButton="0" quotePrefix="0" xfId="2">
      <alignment horizontal="right" vertical="center"/>
    </xf>
    <xf numFmtId="167" fontId="46" fillId="10" borderId="7" applyAlignment="1" pivotButton="0" quotePrefix="0" xfId="2">
      <alignment horizontal="right" vertical="center"/>
    </xf>
    <xf numFmtId="167" fontId="46" fillId="10" borderId="31" applyAlignment="1" pivotButton="0" quotePrefix="0" xfId="2">
      <alignment horizontal="right" vertical="center"/>
    </xf>
    <xf numFmtId="167" fontId="46" fillId="10" borderId="39" applyAlignment="1" pivotButton="0" quotePrefix="0" xfId="2">
      <alignment horizontal="right" vertical="center"/>
    </xf>
    <xf numFmtId="167" fontId="46" fillId="10" borderId="49" applyAlignment="1" pivotButton="0" quotePrefix="0" xfId="1">
      <alignment vertical="center"/>
    </xf>
    <xf numFmtId="167" fontId="46" fillId="0" borderId="50" applyAlignment="1" pivotButton="0" quotePrefix="0" xfId="1">
      <alignment vertical="center"/>
    </xf>
    <xf numFmtId="167" fontId="46" fillId="10" borderId="50" applyAlignment="1" pivotButton="0" quotePrefix="0" xfId="1">
      <alignment vertical="center"/>
    </xf>
    <xf numFmtId="167" fontId="46" fillId="0" borderId="63" applyAlignment="1" pivotButton="0" quotePrefix="0" xfId="1">
      <alignment vertical="center"/>
    </xf>
    <xf numFmtId="167" fontId="46" fillId="10" borderId="46" applyAlignment="1" pivotButton="0" quotePrefix="0" xfId="1">
      <alignment vertical="center"/>
    </xf>
    <xf numFmtId="167" fontId="46" fillId="10" borderId="63" applyAlignment="1" pivotButton="0" quotePrefix="0" xfId="1">
      <alignment vertical="center"/>
    </xf>
    <xf numFmtId="167" fontId="46" fillId="10" borderId="15" applyAlignment="1" pivotButton="0" quotePrefix="0" xfId="1">
      <alignment vertical="center"/>
    </xf>
    <xf numFmtId="167" fontId="46" fillId="10" borderId="59" applyAlignment="1" pivotButton="0" quotePrefix="0" xfId="1">
      <alignment vertical="center"/>
    </xf>
    <xf numFmtId="167" fontId="46" fillId="10" borderId="65" applyAlignment="1" pivotButton="0" quotePrefix="0" xfId="1">
      <alignment vertical="center"/>
    </xf>
    <xf numFmtId="167" fontId="47" fillId="0" borderId="50" applyAlignment="1" pivotButton="0" quotePrefix="0" xfId="1">
      <alignment vertical="center"/>
    </xf>
    <xf numFmtId="167" fontId="46" fillId="0" borderId="65" applyAlignment="1" pivotButton="0" quotePrefix="0" xfId="1">
      <alignment vertical="center"/>
    </xf>
    <xf numFmtId="167" fontId="19" fillId="10" borderId="85" applyAlignment="1" pivotButton="0" quotePrefix="0" xfId="2">
      <alignment horizontal="right" vertical="center"/>
    </xf>
    <xf numFmtId="167" fontId="19" fillId="10" borderId="2" applyAlignment="1" pivotButton="0" quotePrefix="0" xfId="2">
      <alignment horizontal="right" vertical="center"/>
    </xf>
    <xf numFmtId="167" fontId="46" fillId="10" borderId="2" applyAlignment="1" pivotButton="0" quotePrefix="0" xfId="2">
      <alignment horizontal="right" vertical="center"/>
    </xf>
    <xf numFmtId="167" fontId="20" fillId="10" borderId="3" applyAlignment="1" pivotButton="0" quotePrefix="0" xfId="2">
      <alignment horizontal="right" vertical="center"/>
    </xf>
    <xf numFmtId="167" fontId="19" fillId="10" borderId="3" applyAlignment="1" pivotButton="0" quotePrefix="0" xfId="1">
      <alignment horizontal="right" vertical="center"/>
    </xf>
    <xf numFmtId="167" fontId="46" fillId="10" borderId="86" applyAlignment="1" pivotButton="0" quotePrefix="0" xfId="1">
      <alignment vertical="center"/>
    </xf>
    <xf numFmtId="0" fontId="19" fillId="0" borderId="4" applyAlignment="1" pivotButton="0" quotePrefix="0" xfId="1">
      <alignment vertical="center"/>
    </xf>
    <xf numFmtId="165" fontId="0" fillId="10" borderId="12" applyAlignment="1" pivotButton="0" quotePrefix="0" xfId="2">
      <alignment vertical="center"/>
    </xf>
    <xf numFmtId="165" fontId="10" fillId="10" borderId="12" applyAlignment="1" pivotButton="0" quotePrefix="0" xfId="1">
      <alignment horizontal="center" vertical="center"/>
    </xf>
    <xf numFmtId="164" fontId="0" fillId="0" borderId="12" applyAlignment="1" pivotButton="0" quotePrefix="0" xfId="2">
      <alignment vertical="center"/>
    </xf>
    <xf numFmtId="164" fontId="0" fillId="0" borderId="20" applyAlignment="1" pivotButton="0" quotePrefix="0" xfId="2">
      <alignment vertical="center"/>
    </xf>
    <xf numFmtId="0" fontId="10" fillId="9" borderId="43" applyAlignment="1" pivotButton="0" quotePrefix="0" xfId="1">
      <alignment horizontal="center" vertical="center"/>
    </xf>
    <xf numFmtId="167" fontId="10" fillId="9" borderId="62" applyAlignment="1" pivotButton="0" quotePrefix="0" xfId="1">
      <alignment horizontal="center" vertical="center" wrapText="1"/>
    </xf>
    <xf numFmtId="165" fontId="35" fillId="13" borderId="33" applyAlignment="1" pivotButton="0" quotePrefix="0" xfId="2">
      <alignment vertical="center"/>
    </xf>
    <xf numFmtId="165" fontId="35" fillId="13" borderId="18" applyAlignment="1" pivotButton="0" quotePrefix="0" xfId="2">
      <alignment vertical="center"/>
    </xf>
    <xf numFmtId="167" fontId="10" fillId="13" borderId="37" applyAlignment="1" pivotButton="0" quotePrefix="0" xfId="1">
      <alignment vertical="center"/>
    </xf>
    <xf numFmtId="165" fontId="35" fillId="13" borderId="24" applyAlignment="1" pivotButton="0" quotePrefix="0" xfId="2">
      <alignment vertical="center"/>
    </xf>
    <xf numFmtId="165" fontId="35" fillId="13" borderId="0" applyAlignment="1" pivotButton="0" quotePrefix="0" xfId="2">
      <alignment vertical="center"/>
    </xf>
    <xf numFmtId="165" fontId="35" fillId="13" borderId="5" applyAlignment="1" pivotButton="0" quotePrefix="0" xfId="2">
      <alignment vertical="center"/>
    </xf>
    <xf numFmtId="165" fontId="35" fillId="13" borderId="30" applyAlignment="1" pivotButton="0" quotePrefix="0" xfId="2">
      <alignment vertical="center"/>
    </xf>
    <xf numFmtId="165" fontId="35" fillId="13" borderId="1" applyAlignment="1" pivotButton="0" quotePrefix="0" xfId="2">
      <alignment vertical="center"/>
    </xf>
    <xf numFmtId="165" fontId="35" fillId="13" borderId="48" applyAlignment="1" pivotButton="0" quotePrefix="0" xfId="2">
      <alignment vertical="center"/>
    </xf>
    <xf numFmtId="166" fontId="0" fillId="0" borderId="36" applyAlignment="1" pivotButton="0" quotePrefix="0" xfId="2">
      <alignment vertical="center"/>
    </xf>
    <xf numFmtId="166" fontId="0" fillId="0" borderId="17" applyAlignment="1" pivotButton="0" quotePrefix="0" xfId="2">
      <alignment vertical="center"/>
    </xf>
    <xf numFmtId="166" fontId="0" fillId="0" borderId="13" applyAlignment="1" pivotButton="0" quotePrefix="0" xfId="2">
      <alignment vertical="center"/>
    </xf>
    <xf numFmtId="165" fontId="35" fillId="13" borderId="46" applyAlignment="1" pivotButton="0" quotePrefix="0" xfId="2">
      <alignment vertical="center"/>
    </xf>
    <xf numFmtId="165" fontId="35" fillId="13" borderId="50" applyAlignment="1" pivotButton="0" quotePrefix="0" xfId="2">
      <alignment vertical="center"/>
    </xf>
    <xf numFmtId="165" fontId="35" fillId="13" borderId="63" applyAlignment="1" pivotButton="0" quotePrefix="0" xfId="2">
      <alignment vertical="center"/>
    </xf>
    <xf numFmtId="165" fontId="35" fillId="13" borderId="59" applyAlignment="1" pivotButton="0" quotePrefix="0" xfId="2">
      <alignment vertical="center"/>
    </xf>
    <xf numFmtId="165" fontId="35" fillId="13" borderId="86" applyAlignment="1" pivotButton="0" quotePrefix="0" xfId="2">
      <alignment vertical="center"/>
    </xf>
    <xf numFmtId="165" fontId="35" fillId="13" borderId="65" applyAlignment="1" pivotButton="0" quotePrefix="0" xfId="2">
      <alignment vertical="center"/>
    </xf>
    <xf numFmtId="165" fontId="35" fillId="13" borderId="15" applyAlignment="1" pivotButton="0" quotePrefix="0" xfId="2">
      <alignment vertical="center"/>
    </xf>
    <xf numFmtId="165" fontId="35" fillId="13" borderId="49" applyAlignment="1" pivotButton="0" quotePrefix="0" xfId="2">
      <alignment vertical="center"/>
    </xf>
    <xf numFmtId="165" fontId="10" fillId="0" borderId="50" applyAlignment="1" pivotButton="0" quotePrefix="0" xfId="2">
      <alignment vertical="center"/>
    </xf>
    <xf numFmtId="165" fontId="10" fillId="0" borderId="49" applyAlignment="1" pivotButton="0" quotePrefix="0" xfId="2">
      <alignment vertical="center"/>
    </xf>
    <xf numFmtId="165" fontId="10" fillId="0" borderId="59" applyAlignment="1" pivotButton="0" quotePrefix="0" xfId="2">
      <alignment vertical="center"/>
    </xf>
    <xf numFmtId="165" fontId="10" fillId="0" borderId="15" applyAlignment="1" pivotButton="0" quotePrefix="0" xfId="2">
      <alignment vertical="center"/>
    </xf>
    <xf numFmtId="165" fontId="19" fillId="10" borderId="24" applyAlignment="1" pivotButton="0" quotePrefix="0" xfId="2">
      <alignment horizontal="center" vertical="center"/>
    </xf>
    <xf numFmtId="165" fontId="19" fillId="10" borderId="26" applyAlignment="1" pivotButton="0" quotePrefix="0" xfId="2">
      <alignment horizontal="center" vertical="center"/>
    </xf>
    <xf numFmtId="165" fontId="19" fillId="10" borderId="47" applyAlignment="1" pivotButton="0" quotePrefix="0" xfId="2">
      <alignment horizontal="right" vertical="center"/>
    </xf>
    <xf numFmtId="166" fontId="0" fillId="10" borderId="48" applyAlignment="1" pivotButton="0" quotePrefix="0" xfId="2">
      <alignment vertical="center"/>
    </xf>
    <xf numFmtId="0" fontId="22" fillId="10" borderId="87" applyAlignment="1" pivotButton="0" quotePrefix="0" xfId="1">
      <alignment horizontal="left" vertical="center"/>
    </xf>
    <xf numFmtId="165" fontId="0" fillId="10" borderId="24" applyAlignment="1" pivotButton="0" quotePrefix="0" xfId="2">
      <alignment vertical="center"/>
    </xf>
    <xf numFmtId="165" fontId="0" fillId="10" borderId="26" applyAlignment="1" pivotButton="0" quotePrefix="0" xfId="2">
      <alignment vertical="center"/>
    </xf>
    <xf numFmtId="165" fontId="10" fillId="10" borderId="23" applyAlignment="1" pivotButton="0" quotePrefix="0" xfId="2">
      <alignment vertical="center"/>
    </xf>
    <xf numFmtId="166" fontId="0" fillId="10" borderId="24" applyAlignment="1" pivotButton="0" quotePrefix="0" xfId="2">
      <alignment vertical="center"/>
    </xf>
    <xf numFmtId="164" fontId="0" fillId="10" borderId="23" applyAlignment="1" pivotButton="0" quotePrefix="0" xfId="2">
      <alignment vertical="center"/>
    </xf>
    <xf numFmtId="165" fontId="10" fillId="10" borderId="24" applyAlignment="1" pivotButton="0" quotePrefix="0" xfId="2">
      <alignment vertical="center"/>
    </xf>
    <xf numFmtId="164" fontId="14" fillId="10" borderId="23" applyAlignment="1" pivotButton="0" quotePrefix="0" xfId="1">
      <alignment horizontal="center" vertical="center"/>
    </xf>
    <xf numFmtId="0" fontId="7" fillId="10" borderId="6" applyAlignment="1" pivotButton="0" quotePrefix="0" xfId="1">
      <alignment vertical="center"/>
    </xf>
    <xf numFmtId="165" fontId="7" fillId="10" borderId="43" applyAlignment="1" pivotButton="0" quotePrefix="0" xfId="1">
      <alignment horizontal="center" vertical="center"/>
    </xf>
    <xf numFmtId="165" fontId="0" fillId="10" borderId="6" applyAlignment="1" pivotButton="0" quotePrefix="0" xfId="2">
      <alignment horizontal="center" vertical="center"/>
    </xf>
    <xf numFmtId="165" fontId="10" fillId="10" borderId="42" applyAlignment="1" pivotButton="0" quotePrefix="0" xfId="2">
      <alignment vertical="center"/>
    </xf>
    <xf numFmtId="170" fontId="10" fillId="10" borderId="42" applyAlignment="1" pivotButton="0" quotePrefix="0" xfId="2">
      <alignment vertical="center"/>
    </xf>
    <xf numFmtId="9" fontId="10" fillId="10" borderId="42" applyAlignment="1" pivotButton="0" quotePrefix="0" xfId="3">
      <alignment vertical="center"/>
    </xf>
    <xf numFmtId="165" fontId="0" fillId="0" borderId="43" applyAlignment="1" pivotButton="0" quotePrefix="0" xfId="2">
      <alignment vertical="center"/>
    </xf>
    <xf numFmtId="165" fontId="0" fillId="0" borderId="45" applyAlignment="1" pivotButton="0" quotePrefix="0" xfId="2">
      <alignment vertical="center"/>
    </xf>
    <xf numFmtId="165" fontId="10" fillId="0" borderId="6" applyAlignment="1" pivotButton="0" quotePrefix="0" xfId="2">
      <alignment vertical="center"/>
    </xf>
    <xf numFmtId="165" fontId="35" fillId="13" borderId="43" applyAlignment="1" pivotButton="0" quotePrefix="0" xfId="2">
      <alignment vertical="center"/>
    </xf>
    <xf numFmtId="165" fontId="35" fillId="13" borderId="61" applyAlignment="1" pivotButton="0" quotePrefix="0" xfId="2">
      <alignment vertical="center"/>
    </xf>
    <xf numFmtId="166" fontId="0" fillId="0" borderId="43" applyAlignment="1" pivotButton="0" quotePrefix="0" xfId="2">
      <alignment vertical="center"/>
    </xf>
    <xf numFmtId="165" fontId="10" fillId="0" borderId="42" applyAlignment="1" pivotButton="0" quotePrefix="0" xfId="1">
      <alignment horizontal="center" vertical="center"/>
    </xf>
    <xf numFmtId="164" fontId="0" fillId="0" borderId="6" applyAlignment="1" pivotButton="0" quotePrefix="0" xfId="2">
      <alignment vertical="center"/>
    </xf>
    <xf numFmtId="165" fontId="0" fillId="10" borderId="43" applyAlignment="1" pivotButton="0" quotePrefix="0" xfId="2">
      <alignment horizontal="center" vertical="center"/>
    </xf>
    <xf numFmtId="165" fontId="0" fillId="10" borderId="45" applyAlignment="1" pivotButton="0" quotePrefix="0" xfId="2">
      <alignment horizontal="center" vertical="center"/>
    </xf>
    <xf numFmtId="49" fontId="0" fillId="10" borderId="6" applyAlignment="1" pivotButton="0" quotePrefix="0" xfId="2">
      <alignment horizontal="center" vertical="center"/>
    </xf>
    <xf numFmtId="164" fontId="14" fillId="0" borderId="6" applyAlignment="1" pivotButton="0" quotePrefix="0" xfId="1">
      <alignment horizontal="center" vertical="center"/>
    </xf>
    <xf numFmtId="165" fontId="0" fillId="10" borderId="42" applyAlignment="1" pivotButton="0" quotePrefix="0" xfId="2">
      <alignment vertical="center"/>
    </xf>
    <xf numFmtId="0" fontId="26" fillId="10" borderId="9" applyAlignment="1" pivotButton="0" quotePrefix="0" xfId="1">
      <alignment vertical="center"/>
    </xf>
    <xf numFmtId="0" fontId="10" fillId="7" borderId="42" applyAlignment="1" pivotButton="0" quotePrefix="0" xfId="1">
      <alignment horizontal="center" vertical="center"/>
    </xf>
    <xf numFmtId="167" fontId="19" fillId="10" borderId="62" applyAlignment="1" pivotButton="0" quotePrefix="0" xfId="2">
      <alignment horizontal="right" vertical="center"/>
    </xf>
    <xf numFmtId="167" fontId="19" fillId="10" borderId="44" applyAlignment="1" pivotButton="0" quotePrefix="0" xfId="2">
      <alignment horizontal="right" vertical="center"/>
    </xf>
    <xf numFmtId="167" fontId="46" fillId="10" borderId="44" applyAlignment="1" pivotButton="0" quotePrefix="0" xfId="2">
      <alignment horizontal="right" vertical="center"/>
    </xf>
    <xf numFmtId="167" fontId="20" fillId="10" borderId="42" applyAlignment="1" pivotButton="0" quotePrefix="0" xfId="2">
      <alignment horizontal="right" vertical="center"/>
    </xf>
    <xf numFmtId="167" fontId="19" fillId="10" borderId="42" applyAlignment="1" pivotButton="0" quotePrefix="0" xfId="1">
      <alignment horizontal="right" vertical="center"/>
    </xf>
    <xf numFmtId="167" fontId="46" fillId="10" borderId="61" applyAlignment="1" pivotButton="0" quotePrefix="0" xfId="1">
      <alignment vertical="center"/>
    </xf>
    <xf numFmtId="0" fontId="26" fillId="10" borderId="6" applyAlignment="1" pivotButton="0" quotePrefix="0" xfId="1">
      <alignment vertical="center"/>
    </xf>
    <xf numFmtId="165" fontId="0" fillId="10" borderId="3" applyAlignment="1" pivotButton="0" quotePrefix="0" xfId="2">
      <alignment vertical="center"/>
    </xf>
    <xf numFmtId="165" fontId="0" fillId="10" borderId="4" applyAlignment="1" pivotButton="0" quotePrefix="0" xfId="2">
      <alignment horizontal="center" vertical="center"/>
    </xf>
    <xf numFmtId="165" fontId="10" fillId="0" borderId="3" applyAlignment="1" pivotButton="0" quotePrefix="0" xfId="1">
      <alignment horizontal="center" vertical="center"/>
    </xf>
    <xf numFmtId="165" fontId="0" fillId="10" borderId="5" applyAlignment="1" pivotButton="0" quotePrefix="0" xfId="2">
      <alignment horizontal="center" vertical="center"/>
    </xf>
    <xf numFmtId="165" fontId="0" fillId="10" borderId="10" applyAlignment="1" pivotButton="0" quotePrefix="0" xfId="2">
      <alignment horizontal="center" vertical="center"/>
    </xf>
    <xf numFmtId="49" fontId="0" fillId="10" borderId="4" applyAlignment="1" pivotButton="0" quotePrefix="0" xfId="2">
      <alignment horizontal="center" vertical="center"/>
    </xf>
    <xf numFmtId="164" fontId="14" fillId="0" borderId="4" applyAlignment="1" pivotButton="0" quotePrefix="0" xfId="1">
      <alignment horizontal="center" vertical="center"/>
    </xf>
    <xf numFmtId="165" fontId="0" fillId="10" borderId="28" applyAlignment="1" pivotButton="0" quotePrefix="0" xfId="2">
      <alignment vertical="center"/>
    </xf>
    <xf numFmtId="164" fontId="14" fillId="0" borderId="29" applyAlignment="1" pivotButton="0" quotePrefix="0" xfId="1">
      <alignment horizontal="center" vertical="center"/>
    </xf>
    <xf numFmtId="0" fontId="26" fillId="10" borderId="4" applyAlignment="1" pivotButton="0" quotePrefix="0" xfId="1">
      <alignment vertical="center"/>
    </xf>
    <xf numFmtId="165" fontId="0" fillId="10" borderId="40" applyAlignment="1" pivotButton="0" quotePrefix="0" xfId="2">
      <alignment vertical="center"/>
    </xf>
    <xf numFmtId="165" fontId="0" fillId="10" borderId="2" applyAlignment="1" pivotButton="0" quotePrefix="0" xfId="2">
      <alignment horizontal="center" vertical="center"/>
    </xf>
    <xf numFmtId="0" fontId="22" fillId="10" borderId="88" applyAlignment="1" pivotButton="0" quotePrefix="0" xfId="1">
      <alignment horizontal="left" vertical="center"/>
    </xf>
    <xf numFmtId="0" fontId="20" fillId="10" borderId="8" applyAlignment="1" pivotButton="0" quotePrefix="0" xfId="1">
      <alignment horizontal="left" vertical="center"/>
    </xf>
    <xf numFmtId="0" fontId="20" fillId="10" borderId="47" applyAlignment="1" pivotButton="0" quotePrefix="0" xfId="1">
      <alignment horizontal="left" vertical="center"/>
    </xf>
    <xf numFmtId="49" fontId="0" fillId="10" borderId="9" applyAlignment="1" pivotButton="0" quotePrefix="0" xfId="2">
      <alignment horizontal="center" vertical="center"/>
    </xf>
    <xf numFmtId="165" fontId="10" fillId="0" borderId="47" applyAlignment="1" pivotButton="0" quotePrefix="0" xfId="1">
      <alignment horizontal="center" vertical="center"/>
    </xf>
    <xf numFmtId="167" fontId="19" fillId="10" borderId="89" applyAlignment="1" pivotButton="0" quotePrefix="0" xfId="2">
      <alignment horizontal="right" vertical="center"/>
    </xf>
    <xf numFmtId="167" fontId="46" fillId="10" borderId="89" applyAlignment="1" pivotButton="0" quotePrefix="0" xfId="2">
      <alignment horizontal="right" vertical="center"/>
    </xf>
    <xf numFmtId="167" fontId="20" fillId="10" borderId="47" applyAlignment="1" pivotButton="0" quotePrefix="0" xfId="2">
      <alignment horizontal="right" vertical="center"/>
    </xf>
    <xf numFmtId="167" fontId="19" fillId="10" borderId="47" applyAlignment="1" pivotButton="0" quotePrefix="0" xfId="1">
      <alignment horizontal="right" vertical="center"/>
    </xf>
    <xf numFmtId="0" fontId="19" fillId="0" borderId="35" applyAlignment="1" pivotButton="0" quotePrefix="0" xfId="1">
      <alignment vertical="center"/>
    </xf>
    <xf numFmtId="167" fontId="19" fillId="0" borderId="47" applyAlignment="1" pivotButton="0" quotePrefix="0" xfId="1">
      <alignment horizontal="right" vertical="center"/>
    </xf>
    <xf numFmtId="0" fontId="26" fillId="10" borderId="40" applyAlignment="1" pivotButton="0" quotePrefix="0" xfId="1">
      <alignment vertical="center"/>
    </xf>
    <xf numFmtId="165" fontId="0" fillId="10" borderId="39" applyAlignment="1" pivotButton="0" quotePrefix="0" xfId="2">
      <alignment horizontal="center" vertical="center"/>
    </xf>
    <xf numFmtId="0" fontId="7" fillId="10" borderId="18" applyAlignment="1" pivotButton="0" quotePrefix="0" xfId="1">
      <alignment vertical="center"/>
    </xf>
    <xf numFmtId="165" fontId="7" fillId="10" borderId="21" applyAlignment="1" pivotButton="0" quotePrefix="0" xfId="1">
      <alignment horizontal="center" vertical="center"/>
    </xf>
    <xf numFmtId="165" fontId="7" fillId="10" borderId="51" applyAlignment="1" pivotButton="0" quotePrefix="0" xfId="1">
      <alignment horizontal="center" vertical="center"/>
    </xf>
    <xf numFmtId="165" fontId="7" fillId="10" borderId="50" applyAlignment="1" pivotButton="0" quotePrefix="0" xfId="1">
      <alignment horizontal="center" vertical="center"/>
    </xf>
    <xf numFmtId="0" fontId="7" fillId="10" borderId="19" applyAlignment="1" pivotButton="0" quotePrefix="0" xfId="1">
      <alignment vertical="center"/>
    </xf>
    <xf numFmtId="0" fontId="7" fillId="10" borderId="21" applyAlignment="1" pivotButton="0" quotePrefix="0" xfId="1">
      <alignment vertical="center"/>
    </xf>
    <xf numFmtId="0" fontId="7" fillId="10" borderId="19" applyAlignment="1" pivotButton="0" quotePrefix="0" xfId="1">
      <alignment horizontal="center" vertical="center"/>
    </xf>
    <xf numFmtId="0" fontId="7" fillId="10" borderId="21" applyAlignment="1" pivotButton="0" quotePrefix="0" xfId="1">
      <alignment horizontal="center" vertical="center"/>
    </xf>
    <xf numFmtId="49" fontId="7" fillId="10" borderId="17" applyAlignment="1" pivotButton="0" quotePrefix="0" xfId="1">
      <alignment horizontal="center" vertical="center"/>
    </xf>
    <xf numFmtId="49" fontId="7" fillId="10" borderId="0" applyAlignment="1" pivotButton="0" quotePrefix="0" xfId="1">
      <alignment horizontal="center" vertical="center"/>
    </xf>
    <xf numFmtId="0" fontId="20" fillId="10" borderId="40" applyAlignment="1" pivotButton="0" quotePrefix="0" xfId="1">
      <alignment horizontal="left" vertical="center"/>
    </xf>
    <xf numFmtId="0" fontId="20" fillId="10" borderId="42" applyAlignment="1" pivotButton="0" quotePrefix="0" xfId="1">
      <alignment horizontal="left" vertical="center"/>
    </xf>
    <xf numFmtId="0" fontId="20" fillId="10" borderId="3" applyAlignment="1" pivotButton="0" quotePrefix="0" xfId="1">
      <alignment horizontal="left" vertical="center"/>
    </xf>
    <xf numFmtId="0" fontId="16" fillId="10" borderId="27" applyAlignment="1" pivotButton="0" quotePrefix="0" xfId="1">
      <alignment horizontal="left" vertical="center"/>
    </xf>
    <xf numFmtId="167" fontId="16" fillId="10" borderId="18" applyAlignment="1" pivotButton="0" quotePrefix="0" xfId="2">
      <alignment horizontal="right" vertical="center"/>
    </xf>
    <xf numFmtId="167" fontId="16" fillId="10" borderId="19" applyAlignment="1" pivotButton="0" quotePrefix="0" xfId="2">
      <alignment horizontal="right" vertical="center"/>
    </xf>
    <xf numFmtId="167" fontId="47" fillId="10" borderId="19" applyAlignment="1" pivotButton="0" quotePrefix="0" xfId="2">
      <alignment horizontal="right" vertical="center"/>
    </xf>
    <xf numFmtId="167" fontId="16" fillId="10" borderId="20" applyAlignment="1" pivotButton="0" quotePrefix="0" xfId="2">
      <alignment horizontal="right" vertical="center"/>
    </xf>
    <xf numFmtId="0" fontId="48" fillId="10" borderId="0" applyAlignment="1" pivotButton="0" quotePrefix="0" xfId="1">
      <alignment horizontal="right" vertical="center"/>
    </xf>
    <xf numFmtId="0" fontId="48" fillId="0" borderId="0" applyAlignment="1" pivotButton="0" quotePrefix="0" xfId="1">
      <alignment horizontal="right" vertical="center"/>
    </xf>
    <xf numFmtId="165" fontId="0" fillId="10" borderId="31" applyAlignment="1" pivotButton="0" quotePrefix="0" xfId="2">
      <alignment horizontal="center" vertical="center"/>
    </xf>
    <xf numFmtId="165" fontId="0" fillId="6" borderId="21" applyAlignment="1" pivotButton="0" quotePrefix="0" xfId="2">
      <alignment vertical="center" wrapText="1"/>
    </xf>
    <xf numFmtId="165" fontId="0" fillId="6" borderId="0" applyAlignment="1" pivotButton="0" quotePrefix="0" xfId="2">
      <alignment horizontal="center" vertical="center"/>
    </xf>
    <xf numFmtId="165" fontId="0" fillId="6" borderId="38" applyAlignment="1" pivotButton="0" quotePrefix="0" xfId="2">
      <alignment horizontal="center" vertical="center"/>
    </xf>
    <xf numFmtId="165" fontId="0" fillId="6" borderId="9" applyAlignment="1" pivotButton="0" quotePrefix="0" xfId="2">
      <alignment horizontal="center" vertical="center"/>
    </xf>
    <xf numFmtId="165" fontId="0" fillId="6" borderId="25" applyAlignment="1" pivotButton="0" quotePrefix="0" xfId="2">
      <alignment horizontal="center" vertical="center"/>
    </xf>
    <xf numFmtId="165" fontId="0" fillId="6" borderId="26" applyAlignment="1" pivotButton="0" quotePrefix="0" xfId="2">
      <alignment horizontal="center" vertical="center"/>
    </xf>
    <xf numFmtId="165" fontId="0" fillId="6" borderId="23" applyAlignment="1" pivotButton="0" quotePrefix="0" xfId="2">
      <alignment horizontal="center" vertical="center"/>
    </xf>
    <xf numFmtId="165" fontId="0" fillId="6" borderId="24" applyAlignment="1" pivotButton="0" quotePrefix="0" xfId="2">
      <alignment horizontal="center" vertical="center"/>
    </xf>
    <xf numFmtId="0" fontId="40" fillId="0" borderId="76" applyAlignment="1" applyProtection="1" pivotButton="0" quotePrefix="0" xfId="1">
      <alignment horizontal="left" vertical="center"/>
      <protection locked="0" hidden="0"/>
    </xf>
    <xf numFmtId="0" fontId="0" fillId="14" borderId="54" pivotButton="0" quotePrefix="0" xfId="0"/>
    <xf numFmtId="0" fontId="7" fillId="10" borderId="47" applyAlignment="1" pivotButton="0" quotePrefix="0" xfId="1">
      <alignment vertical="center"/>
    </xf>
    <xf numFmtId="0" fontId="7" fillId="10" borderId="35" applyAlignment="1" pivotButton="0" quotePrefix="0" xfId="1">
      <alignment vertical="center"/>
    </xf>
    <xf numFmtId="165" fontId="7" fillId="10" borderId="48" applyAlignment="1" pivotButton="0" quotePrefix="0" xfId="1">
      <alignment horizontal="center" vertical="center"/>
    </xf>
    <xf numFmtId="164" fontId="14" fillId="0" borderId="35" applyAlignment="1" pivotButton="0" quotePrefix="0" xfId="1">
      <alignment horizontal="center" vertical="center"/>
    </xf>
    <xf numFmtId="167" fontId="10" fillId="10" borderId="40" applyAlignment="1" pivotButton="0" quotePrefix="0" xfId="1">
      <alignment horizontal="right" vertical="center"/>
    </xf>
    <xf numFmtId="167" fontId="11" fillId="0" borderId="20" applyAlignment="1" pivotButton="0" quotePrefix="0" xfId="2">
      <alignment horizontal="right" vertical="center"/>
    </xf>
    <xf numFmtId="167" fontId="11" fillId="10" borderId="20" applyAlignment="1" pivotButton="0" quotePrefix="0" xfId="2">
      <alignment horizontal="right" vertical="center"/>
    </xf>
    <xf numFmtId="167" fontId="11" fillId="0" borderId="27" applyAlignment="1" pivotButton="0" quotePrefix="0" xfId="2">
      <alignment horizontal="right" vertical="center"/>
    </xf>
    <xf numFmtId="167" fontId="11" fillId="0" borderId="3" applyAlignment="1" pivotButton="0" quotePrefix="0" xfId="2">
      <alignment horizontal="right" vertical="center"/>
    </xf>
    <xf numFmtId="167" fontId="11" fillId="10" borderId="27" applyAlignment="1" pivotButton="0" quotePrefix="0" xfId="2">
      <alignment horizontal="right" vertical="center"/>
    </xf>
    <xf numFmtId="167" fontId="11" fillId="10" borderId="3" applyAlignment="1" pivotButton="0" quotePrefix="0" xfId="2">
      <alignment horizontal="right" vertical="center"/>
    </xf>
    <xf numFmtId="167" fontId="11" fillId="10" borderId="28" applyAlignment="1" pivotButton="0" quotePrefix="0" xfId="2">
      <alignment horizontal="right" vertical="center"/>
    </xf>
    <xf numFmtId="167" fontId="11" fillId="10" borderId="40" applyAlignment="1" pivotButton="0" quotePrefix="0" xfId="2">
      <alignment horizontal="right" vertical="center"/>
    </xf>
    <xf numFmtId="167" fontId="11" fillId="10" borderId="12" applyAlignment="1" pivotButton="0" quotePrefix="0" xfId="2">
      <alignment horizontal="right" vertical="center"/>
    </xf>
    <xf numFmtId="167" fontId="11" fillId="10" borderId="42" applyAlignment="1" pivotButton="0" quotePrefix="0" xfId="2">
      <alignment horizontal="right" vertical="center"/>
    </xf>
    <xf numFmtId="167" fontId="11" fillId="10" borderId="8" applyAlignment="1" pivotButton="0" quotePrefix="0" xfId="2">
      <alignment horizontal="right" vertical="center"/>
    </xf>
    <xf numFmtId="167" fontId="11" fillId="10" borderId="47" applyAlignment="1" pivotButton="0" quotePrefix="0" xfId="2">
      <alignment horizontal="right" vertical="center"/>
    </xf>
    <xf numFmtId="167" fontId="35" fillId="10" borderId="20" applyAlignment="1" pivotButton="0" quotePrefix="0" xfId="2">
      <alignment horizontal="right" vertical="center"/>
    </xf>
    <xf numFmtId="167" fontId="11" fillId="0" borderId="28" applyAlignment="1" pivotButton="0" quotePrefix="0" xfId="2">
      <alignment horizontal="right" vertical="center"/>
    </xf>
    <xf numFmtId="165" fontId="0" fillId="6" borderId="39" applyAlignment="1" pivotButton="0" quotePrefix="0" xfId="2">
      <alignment horizontal="center" vertical="center"/>
    </xf>
    <xf numFmtId="165" fontId="0" fillId="6" borderId="22" applyAlignment="1" pivotButton="0" quotePrefix="0" xfId="2">
      <alignment horizontal="center" vertical="center"/>
    </xf>
    <xf numFmtId="165" fontId="0" fillId="6" borderId="36" applyAlignment="1" pivotButton="0" quotePrefix="0" xfId="2">
      <alignment horizontal="center" vertical="center"/>
    </xf>
    <xf numFmtId="49" fontId="0" fillId="6" borderId="19" applyAlignment="1" pivotButton="0" quotePrefix="0" xfId="2">
      <alignment horizontal="center" vertical="center"/>
    </xf>
    <xf numFmtId="49" fontId="0" fillId="6" borderId="21" applyAlignment="1" pivotButton="0" quotePrefix="0" xfId="2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1" fillId="0" borderId="76" applyAlignment="1" pivotButton="0" quotePrefix="0" xfId="0">
      <alignment horizontal="center" vertical="center"/>
    </xf>
    <xf numFmtId="171" fontId="22" fillId="0" borderId="76" applyAlignment="1" pivotButton="0" quotePrefix="0" xfId="0">
      <alignment horizontal="right" vertical="center"/>
    </xf>
    <xf numFmtId="165" fontId="19" fillId="6" borderId="18" applyAlignment="1" pivotButton="0" quotePrefix="0" xfId="2">
      <alignment horizontal="center" vertical="center"/>
    </xf>
    <xf numFmtId="165" fontId="19" fillId="6" borderId="21" applyAlignment="1" pivotButton="0" quotePrefix="0" xfId="2">
      <alignment horizontal="center" vertical="center"/>
    </xf>
    <xf numFmtId="165" fontId="19" fillId="6" borderId="24" applyAlignment="1" pivotButton="0" quotePrefix="0" xfId="2">
      <alignment horizontal="center" vertical="center"/>
    </xf>
    <xf numFmtId="165" fontId="19" fillId="6" borderId="26" applyAlignment="1" pivotButton="0" quotePrefix="0" xfId="2">
      <alignment horizontal="center" vertical="center"/>
    </xf>
    <xf numFmtId="0" fontId="7" fillId="10" borderId="11" applyAlignment="1" pivotButton="0" quotePrefix="0" xfId="1">
      <alignment vertical="center"/>
    </xf>
    <xf numFmtId="0" fontId="7" fillId="10" borderId="14" applyAlignment="1" pivotButton="0" quotePrefix="0" xfId="1">
      <alignment vertical="center"/>
    </xf>
    <xf numFmtId="0" fontId="7" fillId="10" borderId="1" applyAlignment="1" pivotButton="0" quotePrefix="0" xfId="1">
      <alignment vertical="center"/>
    </xf>
    <xf numFmtId="0" fontId="7" fillId="10" borderId="11" applyAlignment="1" pivotButton="0" quotePrefix="0" xfId="1">
      <alignment horizontal="center" vertical="center"/>
    </xf>
    <xf numFmtId="0" fontId="7" fillId="10" borderId="14" applyAlignment="1" pivotButton="0" quotePrefix="0" xfId="1">
      <alignment horizontal="center" vertical="center"/>
    </xf>
    <xf numFmtId="49" fontId="7" fillId="10" borderId="13" applyAlignment="1" pivotButton="0" quotePrefix="0" xfId="1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50" fillId="0" borderId="53" applyAlignment="1" applyProtection="1" pivotButton="0" quotePrefix="0" xfId="1">
      <alignment horizontal="right" vertical="center"/>
      <protection locked="0" hidden="0"/>
    </xf>
    <xf numFmtId="165" fontId="7" fillId="10" borderId="38" applyAlignment="1" pivotButton="0" quotePrefix="0" xfId="1">
      <alignment horizontal="center" vertical="center"/>
    </xf>
    <xf numFmtId="165" fontId="7" fillId="10" borderId="52" applyAlignment="1" pivotButton="0" quotePrefix="0" xfId="1">
      <alignment horizontal="center" vertical="center"/>
    </xf>
    <xf numFmtId="165" fontId="7" fillId="10" borderId="59" applyAlignment="1" pivotButton="0" quotePrefix="0" xfId="1">
      <alignment horizontal="center" vertical="center"/>
    </xf>
    <xf numFmtId="49" fontId="0" fillId="6" borderId="18" applyAlignment="1" pivotButton="0" quotePrefix="0" xfId="2">
      <alignment horizontal="center" vertical="center"/>
    </xf>
    <xf numFmtId="0" fontId="21" fillId="0" borderId="76" applyAlignment="1" pivotButton="0" quotePrefix="0" xfId="0">
      <alignment horizontal="left" vertical="center"/>
    </xf>
    <xf numFmtId="0" fontId="22" fillId="0" borderId="76" applyAlignment="1" pivotButton="0" quotePrefix="0" xfId="0">
      <alignment horizontal="center" vertical="center"/>
    </xf>
    <xf numFmtId="0" fontId="20" fillId="6" borderId="47" applyAlignment="1" pivotButton="0" quotePrefix="0" xfId="1">
      <alignment horizontal="left" vertical="center"/>
    </xf>
    <xf numFmtId="0" fontId="20" fillId="6" borderId="35" applyAlignment="1" pivotButton="0" quotePrefix="0" xfId="1">
      <alignment horizontal="left" vertical="center"/>
    </xf>
    <xf numFmtId="0" fontId="20" fillId="6" borderId="8" applyAlignment="1" pivotButton="0" quotePrefix="0" xfId="1">
      <alignment horizontal="left" vertical="center"/>
    </xf>
    <xf numFmtId="0" fontId="20" fillId="6" borderId="20" applyAlignment="1" pivotButton="0" quotePrefix="0" xfId="1">
      <alignment horizontal="left" vertical="center"/>
    </xf>
    <xf numFmtId="165" fontId="7" fillId="6" borderId="35" applyAlignment="1" pivotButton="0" quotePrefix="0" xfId="1">
      <alignment horizontal="center" vertical="center"/>
    </xf>
    <xf numFmtId="165" fontId="19" fillId="6" borderId="20" applyAlignment="1" pivotButton="0" quotePrefix="0" xfId="2">
      <alignment horizontal="right" vertical="center"/>
    </xf>
    <xf numFmtId="165" fontId="0" fillId="6" borderId="35" applyAlignment="1" pivotButton="0" quotePrefix="0" xfId="2">
      <alignment horizontal="center" vertical="center"/>
    </xf>
    <xf numFmtId="165" fontId="10" fillId="6" borderId="47" applyAlignment="1" pivotButton="0" quotePrefix="0" xfId="2">
      <alignment vertical="center"/>
    </xf>
    <xf numFmtId="170" fontId="10" fillId="6" borderId="47" applyAlignment="1" pivotButton="0" quotePrefix="0" xfId="2">
      <alignment vertical="center"/>
    </xf>
    <xf numFmtId="9" fontId="10" fillId="6" borderId="47" applyAlignment="1" pivotButton="0" quotePrefix="0" xfId="3">
      <alignment vertical="center"/>
    </xf>
    <xf numFmtId="165" fontId="0" fillId="6" borderId="48" applyAlignment="1" pivotButton="0" quotePrefix="0" xfId="2">
      <alignment vertical="center"/>
    </xf>
    <xf numFmtId="165" fontId="0" fillId="6" borderId="34" applyAlignment="1" pivotButton="0" quotePrefix="0" xfId="2">
      <alignment vertical="center"/>
    </xf>
    <xf numFmtId="165" fontId="10" fillId="6" borderId="35" applyAlignment="1" pivotButton="0" quotePrefix="0" xfId="2">
      <alignment vertical="center"/>
    </xf>
    <xf numFmtId="165" fontId="35" fillId="6" borderId="48" applyAlignment="1" pivotButton="0" quotePrefix="0" xfId="2">
      <alignment vertical="center"/>
    </xf>
    <xf numFmtId="165" fontId="35" fillId="6" borderId="49" applyAlignment="1" pivotButton="0" quotePrefix="0" xfId="2">
      <alignment vertical="center"/>
    </xf>
    <xf numFmtId="166" fontId="0" fillId="6" borderId="18" applyAlignment="1" pivotButton="0" quotePrefix="0" xfId="2">
      <alignment vertical="center"/>
    </xf>
    <xf numFmtId="165" fontId="10" fillId="6" borderId="47" applyAlignment="1" pivotButton="0" quotePrefix="0" xfId="1">
      <alignment horizontal="center" vertical="center"/>
    </xf>
    <xf numFmtId="164" fontId="0" fillId="6" borderId="35" applyAlignment="1" pivotButton="0" quotePrefix="0" xfId="2">
      <alignment vertical="center"/>
    </xf>
    <xf numFmtId="165" fontId="0" fillId="6" borderId="48" applyAlignment="1" pivotButton="0" quotePrefix="0" xfId="2">
      <alignment horizontal="center" vertical="center"/>
    </xf>
    <xf numFmtId="165" fontId="0" fillId="6" borderId="34" applyAlignment="1" pivotButton="0" quotePrefix="0" xfId="2">
      <alignment horizontal="center" vertical="center"/>
    </xf>
    <xf numFmtId="49" fontId="0" fillId="6" borderId="35" applyAlignment="1" pivotButton="0" quotePrefix="0" xfId="2">
      <alignment horizontal="center" vertical="center"/>
    </xf>
    <xf numFmtId="164" fontId="14" fillId="6" borderId="47" applyAlignment="1" pivotButton="0" quotePrefix="0" xfId="1">
      <alignment horizontal="center" vertical="center"/>
    </xf>
    <xf numFmtId="165" fontId="0" fillId="6" borderId="47" applyAlignment="1" pivotButton="0" quotePrefix="0" xfId="2">
      <alignment vertical="center"/>
    </xf>
    <xf numFmtId="166" fontId="0" fillId="6" borderId="48" applyAlignment="1" pivotButton="0" quotePrefix="0" xfId="2">
      <alignment vertical="center"/>
    </xf>
    <xf numFmtId="165" fontId="10" fillId="6" borderId="49" applyAlignment="1" pivotButton="0" quotePrefix="0" xfId="2">
      <alignment vertical="center"/>
    </xf>
    <xf numFmtId="165" fontId="7" fillId="6" borderId="0" applyAlignment="1" pivotButton="0" quotePrefix="0" xfId="1">
      <alignment horizontal="center" vertical="center"/>
    </xf>
    <xf numFmtId="165" fontId="0" fillId="6" borderId="8" applyAlignment="1" pivotButton="0" quotePrefix="0" xfId="2">
      <alignment vertical="center"/>
    </xf>
    <xf numFmtId="165" fontId="0" fillId="6" borderId="8" applyAlignment="1" pivotButton="0" quotePrefix="0" xfId="2">
      <alignment horizontal="center" vertical="center"/>
    </xf>
    <xf numFmtId="165" fontId="10" fillId="6" borderId="8" applyAlignment="1" pivotButton="0" quotePrefix="0" xfId="2">
      <alignment vertical="center"/>
    </xf>
    <xf numFmtId="170" fontId="10" fillId="6" borderId="8" applyAlignment="1" pivotButton="0" quotePrefix="0" xfId="2">
      <alignment vertical="center"/>
    </xf>
    <xf numFmtId="9" fontId="10" fillId="6" borderId="8" applyAlignment="1" pivotButton="0" quotePrefix="0" xfId="3">
      <alignment vertical="center"/>
    </xf>
    <xf numFmtId="165" fontId="0" fillId="6" borderId="0" applyAlignment="1" pivotButton="0" quotePrefix="0" xfId="2">
      <alignment vertical="center"/>
    </xf>
    <xf numFmtId="165" fontId="0" fillId="6" borderId="38" applyAlignment="1" pivotButton="0" quotePrefix="0" xfId="2">
      <alignment vertical="center"/>
    </xf>
    <xf numFmtId="165" fontId="10" fillId="6" borderId="59" applyAlignment="1" pivotButton="0" quotePrefix="0" xfId="2">
      <alignment vertical="center"/>
    </xf>
    <xf numFmtId="165" fontId="35" fillId="6" borderId="0" applyAlignment="1" pivotButton="0" quotePrefix="0" xfId="2">
      <alignment vertical="center"/>
    </xf>
    <xf numFmtId="165" fontId="35" fillId="6" borderId="59" applyAlignment="1" pivotButton="0" quotePrefix="0" xfId="2">
      <alignment vertical="center"/>
    </xf>
    <xf numFmtId="166" fontId="0" fillId="6" borderId="9" applyAlignment="1" pivotButton="0" quotePrefix="0" xfId="2">
      <alignment vertical="center"/>
    </xf>
    <xf numFmtId="165" fontId="10" fillId="6" borderId="8" applyAlignment="1" pivotButton="0" quotePrefix="0" xfId="1">
      <alignment horizontal="center" vertical="center"/>
    </xf>
    <xf numFmtId="164" fontId="0" fillId="6" borderId="8" applyAlignment="1" pivotButton="0" quotePrefix="0" xfId="2">
      <alignment vertical="center"/>
    </xf>
    <xf numFmtId="0" fontId="7" fillId="6" borderId="7" applyAlignment="1" pivotButton="0" quotePrefix="0" xfId="1">
      <alignment vertical="center"/>
    </xf>
    <xf numFmtId="0" fontId="7" fillId="6" borderId="38" applyAlignment="1" pivotButton="0" quotePrefix="0" xfId="1">
      <alignment vertical="center"/>
    </xf>
    <xf numFmtId="0" fontId="7" fillId="6" borderId="0" applyAlignment="1" pivotButton="0" quotePrefix="0" xfId="1">
      <alignment vertical="center"/>
    </xf>
    <xf numFmtId="0" fontId="7" fillId="6" borderId="7" applyAlignment="1" pivotButton="0" quotePrefix="0" xfId="1">
      <alignment horizontal="center" vertical="center"/>
    </xf>
    <xf numFmtId="0" fontId="7" fillId="6" borderId="38" applyAlignment="1" pivotButton="0" quotePrefix="0" xfId="1">
      <alignment horizontal="center" vertical="center"/>
    </xf>
    <xf numFmtId="49" fontId="7" fillId="6" borderId="9" applyAlignment="1" pivotButton="0" quotePrefix="0" xfId="1">
      <alignment horizontal="center" vertical="center"/>
    </xf>
    <xf numFmtId="164" fontId="14" fillId="6" borderId="9" applyAlignment="1" pivotButton="0" quotePrefix="0" xfId="1">
      <alignment horizontal="center" vertical="center"/>
    </xf>
    <xf numFmtId="165" fontId="7" fillId="6" borderId="18" applyAlignment="1" pivotButton="0" quotePrefix="0" xfId="1">
      <alignment horizontal="center" vertical="center"/>
    </xf>
    <xf numFmtId="165" fontId="0" fillId="6" borderId="20" applyAlignment="1" pivotButton="0" quotePrefix="0" xfId="2">
      <alignment vertical="center"/>
    </xf>
    <xf numFmtId="165" fontId="0" fillId="6" borderId="20" applyAlignment="1" pivotButton="0" quotePrefix="0" xfId="2">
      <alignment horizontal="center" vertical="center"/>
    </xf>
    <xf numFmtId="165" fontId="10" fillId="6" borderId="20" applyAlignment="1" pivotButton="0" quotePrefix="0" xfId="2">
      <alignment vertical="center"/>
    </xf>
    <xf numFmtId="170" fontId="10" fillId="6" borderId="20" applyAlignment="1" pivotButton="0" quotePrefix="0" xfId="2">
      <alignment vertical="center"/>
    </xf>
    <xf numFmtId="9" fontId="10" fillId="6" borderId="20" applyAlignment="1" pivotButton="0" quotePrefix="0" xfId="3">
      <alignment vertical="center"/>
    </xf>
    <xf numFmtId="165" fontId="0" fillId="6" borderId="18" applyAlignment="1" pivotButton="0" quotePrefix="0" xfId="2">
      <alignment vertical="center"/>
    </xf>
    <xf numFmtId="165" fontId="0" fillId="6" borderId="21" applyAlignment="1" pivotButton="0" quotePrefix="0" xfId="2">
      <alignment vertical="center"/>
    </xf>
    <xf numFmtId="165" fontId="10" fillId="6" borderId="50" applyAlignment="1" pivotButton="0" quotePrefix="0" xfId="2">
      <alignment vertical="center"/>
    </xf>
    <xf numFmtId="165" fontId="35" fillId="6" borderId="18" applyAlignment="1" pivotButton="0" quotePrefix="0" xfId="2">
      <alignment vertical="center"/>
    </xf>
    <xf numFmtId="165" fontId="35" fillId="6" borderId="50" applyAlignment="1" pivotButton="0" quotePrefix="0" xfId="2">
      <alignment vertical="center"/>
    </xf>
    <xf numFmtId="166" fontId="0" fillId="6" borderId="17" applyAlignment="1" pivotButton="0" quotePrefix="0" xfId="2">
      <alignment vertical="center"/>
    </xf>
    <xf numFmtId="165" fontId="10" fillId="6" borderId="20" applyAlignment="1" pivotButton="0" quotePrefix="0" xfId="1">
      <alignment horizontal="center" vertical="center"/>
    </xf>
    <xf numFmtId="164" fontId="0" fillId="6" borderId="20" applyAlignment="1" pivotButton="0" quotePrefix="0" xfId="2">
      <alignment vertical="center"/>
    </xf>
    <xf numFmtId="0" fontId="7" fillId="6" borderId="19" applyAlignment="1" pivotButton="0" quotePrefix="0" xfId="1">
      <alignment vertical="center"/>
    </xf>
    <xf numFmtId="0" fontId="7" fillId="6" borderId="21" applyAlignment="1" pivotButton="0" quotePrefix="0" xfId="1">
      <alignment vertical="center"/>
    </xf>
    <xf numFmtId="0" fontId="7" fillId="6" borderId="18" applyAlignment="1" pivotButton="0" quotePrefix="0" xfId="1">
      <alignment vertical="center"/>
    </xf>
    <xf numFmtId="0" fontId="7" fillId="6" borderId="19" applyAlignment="1" pivotButton="0" quotePrefix="0" xfId="1">
      <alignment horizontal="center" vertical="center"/>
    </xf>
    <xf numFmtId="0" fontId="7" fillId="6" borderId="21" applyAlignment="1" pivotButton="0" quotePrefix="0" xfId="1">
      <alignment horizontal="center" vertical="center"/>
    </xf>
    <xf numFmtId="49" fontId="7" fillId="6" borderId="17" applyAlignment="1" pivotButton="0" quotePrefix="0" xfId="1">
      <alignment horizontal="center" vertical="center"/>
    </xf>
    <xf numFmtId="164" fontId="14" fillId="6" borderId="17" applyAlignment="1" pivotButton="0" quotePrefix="0" xfId="1">
      <alignment horizontal="center" vertical="center"/>
    </xf>
    <xf numFmtId="0" fontId="10" fillId="9" borderId="3" applyAlignment="1" pivotButton="0" quotePrefix="0" xfId="1">
      <alignment horizontal="center" vertical="center"/>
    </xf>
    <xf numFmtId="0" fontId="10" fillId="9" borderId="8" applyAlignment="1" pivotButton="0" quotePrefix="0" xfId="1">
      <alignment horizontal="center" vertical="center"/>
    </xf>
    <xf numFmtId="0" fontId="10" fillId="9" borderId="12" applyAlignment="1" pivotButton="0" quotePrefix="0" xfId="1">
      <alignment horizontal="center" vertical="center"/>
    </xf>
    <xf numFmtId="0" fontId="11" fillId="9" borderId="4" applyAlignment="1" pivotButton="0" quotePrefix="0" xfId="1">
      <alignment horizontal="center" vertical="center"/>
    </xf>
    <xf numFmtId="0" fontId="11" fillId="9" borderId="13" applyAlignment="1" pivotButton="0" quotePrefix="0" xfId="1">
      <alignment horizontal="center" vertical="center"/>
    </xf>
    <xf numFmtId="0" fontId="10" fillId="9" borderId="2" applyAlignment="1" pivotButton="0" quotePrefix="0" xfId="1">
      <alignment horizontal="center" vertical="center"/>
    </xf>
    <xf numFmtId="0" fontId="10" fillId="9" borderId="11" applyAlignment="1" pivotButton="0" quotePrefix="0" xfId="1">
      <alignment horizontal="center" vertical="center"/>
    </xf>
    <xf numFmtId="0" fontId="11" fillId="9" borderId="3" applyAlignment="1" pivotButton="0" quotePrefix="0" xfId="1">
      <alignment horizontal="center" vertical="center"/>
    </xf>
    <xf numFmtId="0" fontId="11" fillId="9" borderId="12" applyAlignment="1" pivotButton="0" quotePrefix="0" xfId="1">
      <alignment horizontal="center" vertical="center"/>
    </xf>
    <xf numFmtId="0" fontId="12" fillId="9" borderId="4" applyAlignment="1" pivotButton="0" quotePrefix="0" xfId="1">
      <alignment horizontal="center" vertical="center"/>
    </xf>
    <xf numFmtId="0" fontId="12" fillId="9" borderId="13" applyAlignment="1" pivotButton="0" quotePrefix="0" xfId="1">
      <alignment horizontal="center" vertical="center"/>
    </xf>
    <xf numFmtId="167" fontId="11" fillId="9" borderId="3" applyAlignment="1" pivotButton="0" quotePrefix="0" xfId="1">
      <alignment horizontal="center" vertical="center"/>
    </xf>
    <xf numFmtId="167" fontId="11" fillId="9" borderId="12" applyAlignment="1" pivotButton="0" quotePrefix="0" xfId="1">
      <alignment horizontal="center" vertical="center"/>
    </xf>
    <xf numFmtId="0" fontId="10" fillId="9" borderId="44" applyAlignment="1" pivotButton="0" quotePrefix="0" xfId="1">
      <alignment horizontal="center" vertical="center"/>
    </xf>
    <xf numFmtId="0" fontId="10" fillId="9" borderId="6" applyAlignment="1" pivotButton="0" quotePrefix="0" xfId="1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8" fillId="0" borderId="1" applyAlignment="1" pivotButton="0" quotePrefix="0" xfId="1">
      <alignment horizontal="left" vertical="center"/>
    </xf>
    <xf numFmtId="0" fontId="10" fillId="9" borderId="43" applyAlignment="1" pivotButton="0" quotePrefix="0" xfId="1">
      <alignment horizontal="center" vertical="center"/>
    </xf>
    <xf numFmtId="49" fontId="10" fillId="9" borderId="43" applyAlignment="1" pivotButton="0" quotePrefix="0" xfId="1">
      <alignment horizontal="center" vertical="center"/>
    </xf>
    <xf numFmtId="49" fontId="10" fillId="9" borderId="6" applyAlignment="1" pivotButton="0" quotePrefix="0" xfId="1">
      <alignment horizontal="center" vertical="center"/>
    </xf>
    <xf numFmtId="9" fontId="11" fillId="9" borderId="3" applyAlignment="1" pivotButton="0" quotePrefix="0" xfId="3">
      <alignment horizontal="center" vertical="center"/>
    </xf>
    <xf numFmtId="9" fontId="11" fillId="9" borderId="12" applyAlignment="1" pivotButton="0" quotePrefix="0" xfId="3">
      <alignment horizontal="center" vertical="center"/>
    </xf>
    <xf numFmtId="165" fontId="0" fillId="6" borderId="64" applyAlignment="1" pivotButton="0" quotePrefix="0" xfId="2">
      <alignment horizontal="center" vertical="center" wrapText="1"/>
    </xf>
    <xf numFmtId="165" fontId="0" fillId="6" borderId="23" applyAlignment="1" pivotButton="0" quotePrefix="0" xfId="2">
      <alignment horizontal="center" vertical="center" wrapText="1"/>
    </xf>
    <xf numFmtId="165" fontId="0" fillId="6" borderId="60" applyAlignment="1" pivotButton="0" quotePrefix="0" xfId="2">
      <alignment horizontal="center" vertical="center" wrapText="1"/>
    </xf>
    <xf numFmtId="165" fontId="0" fillId="6" borderId="9" applyAlignment="1" pivotButton="0" quotePrefix="0" xfId="2">
      <alignment horizontal="center" vertical="center" wrapText="1"/>
    </xf>
    <xf numFmtId="165" fontId="0" fillId="6" borderId="66" applyAlignment="1" pivotButton="0" quotePrefix="0" xfId="2">
      <alignment horizontal="center" vertical="center" wrapText="1"/>
    </xf>
    <xf numFmtId="165" fontId="0" fillId="6" borderId="35" applyAlignment="1" pivotButton="0" quotePrefix="0" xfId="2">
      <alignment horizontal="center" vertical="center" wrapText="1"/>
    </xf>
    <xf numFmtId="0" fontId="28" fillId="0" borderId="1" applyAlignment="1" pivotButton="0" quotePrefix="0" xfId="1">
      <alignment horizontal="left" vertical="center"/>
    </xf>
    <xf numFmtId="0" fontId="10" fillId="7" borderId="3" applyAlignment="1" pivotButton="0" quotePrefix="0" xfId="1">
      <alignment horizontal="center" vertical="center"/>
    </xf>
    <xf numFmtId="0" fontId="10" fillId="7" borderId="8" applyAlignment="1" pivotButton="0" quotePrefix="0" xfId="1">
      <alignment horizontal="center" vertical="center"/>
    </xf>
    <xf numFmtId="0" fontId="10" fillId="7" borderId="12" applyAlignment="1" pivotButton="0" quotePrefix="0" xfId="1">
      <alignment horizontal="center" vertical="center"/>
    </xf>
    <xf numFmtId="0" fontId="11" fillId="7" borderId="3" applyAlignment="1" pivotButton="0" quotePrefix="0" xfId="1">
      <alignment horizontal="center" vertical="center"/>
    </xf>
    <xf numFmtId="0" fontId="11" fillId="7" borderId="8" applyAlignment="1" pivotButton="0" quotePrefix="0" xfId="1">
      <alignment horizontal="center" vertical="center"/>
    </xf>
    <xf numFmtId="0" fontId="11" fillId="7" borderId="12" applyAlignment="1" pivotButton="0" quotePrefix="0" xfId="1">
      <alignment horizontal="center" vertical="center"/>
    </xf>
    <xf numFmtId="167" fontId="11" fillId="7" borderId="3" applyAlignment="1" pivotButton="0" quotePrefix="0" xfId="1">
      <alignment horizontal="center" vertical="center"/>
    </xf>
    <xf numFmtId="167" fontId="11" fillId="7" borderId="8" applyAlignment="1" pivotButton="0" quotePrefix="0" xfId="1">
      <alignment horizontal="center" vertical="center"/>
    </xf>
    <xf numFmtId="167" fontId="11" fillId="7" borderId="12" applyAlignment="1" pivotButton="0" quotePrefix="0" xfId="1">
      <alignment horizontal="center" vertical="center"/>
    </xf>
    <xf numFmtId="0" fontId="10" fillId="7" borderId="8" applyAlignment="1" pivotButton="0" quotePrefix="0" xfId="1">
      <alignment horizontal="center" vertical="center" wrapText="1"/>
    </xf>
    <xf numFmtId="167" fontId="10" fillId="7" borderId="3" applyAlignment="1" pivotButton="0" quotePrefix="0" xfId="1">
      <alignment horizontal="center" vertical="center"/>
    </xf>
    <xf numFmtId="167" fontId="10" fillId="7" borderId="8" applyAlignment="1" pivotButton="0" quotePrefix="0" xfId="1">
      <alignment horizontal="center" vertical="center"/>
    </xf>
    <xf numFmtId="167" fontId="10" fillId="7" borderId="12" applyAlignment="1" pivotButton="0" quotePrefix="0" xfId="1">
      <alignment horizontal="center" vertical="center"/>
    </xf>
    <xf numFmtId="0" fontId="10" fillId="7" borderId="4" applyAlignment="1" pivotButton="0" quotePrefix="0" xfId="1">
      <alignment horizontal="center" vertical="center"/>
    </xf>
    <xf numFmtId="0" fontId="10" fillId="7" borderId="9" applyAlignment="1" pivotButton="0" quotePrefix="0" xfId="1">
      <alignment horizontal="center" vertical="center"/>
    </xf>
    <xf numFmtId="0" fontId="10" fillId="7" borderId="13" applyAlignment="1" pivotButton="0" quotePrefix="0" xfId="1">
      <alignment horizontal="center" vertical="center"/>
    </xf>
    <xf numFmtId="0" fontId="27" fillId="7" borderId="4" applyAlignment="1" pivotButton="0" quotePrefix="0" xfId="1">
      <alignment horizontal="center" vertical="center"/>
    </xf>
    <xf numFmtId="0" fontId="27" fillId="7" borderId="9" applyAlignment="1" pivotButton="0" quotePrefix="0" xfId="1">
      <alignment horizontal="center" vertical="center"/>
    </xf>
    <xf numFmtId="0" fontId="27" fillId="7" borderId="13" applyAlignment="1" pivotButton="0" quotePrefix="0" xfId="1">
      <alignment horizontal="center" vertical="center"/>
    </xf>
    <xf numFmtId="167" fontId="11" fillId="7" borderId="3" applyAlignment="1" pivotButton="0" quotePrefix="0" xfId="1">
      <alignment horizontal="center" vertical="center" wrapText="1"/>
    </xf>
    <xf numFmtId="167" fontId="11" fillId="7" borderId="8" applyAlignment="1" pivotButton="0" quotePrefix="0" xfId="1">
      <alignment horizontal="center" vertical="center" wrapText="1"/>
    </xf>
    <xf numFmtId="167" fontId="11" fillId="7" borderId="12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center" vertical="center"/>
    </xf>
    <xf numFmtId="0" fontId="10" fillId="0" borderId="54" applyAlignment="1" pivotButton="0" quotePrefix="0" xfId="1">
      <alignment horizontal="center" vertical="center"/>
    </xf>
    <xf numFmtId="0" fontId="21" fillId="0" borderId="54" applyAlignment="1" pivotButton="0" quotePrefix="0" xfId="1">
      <alignment horizontal="center" vertical="center"/>
    </xf>
    <xf numFmtId="0" fontId="7" fillId="0" borderId="20" applyAlignment="1" pivotButton="0" quotePrefix="0" xfId="1">
      <alignment vertical="center"/>
    </xf>
    <xf numFmtId="0" fontId="7" fillId="0" borderId="17" applyAlignment="1" pivotButton="0" quotePrefix="0" xfId="1">
      <alignment vertical="center"/>
    </xf>
    <xf numFmtId="165" fontId="7" fillId="0" borderId="18" applyAlignment="1" pivotButton="0" quotePrefix="0" xfId="1">
      <alignment horizontal="center" vertical="center"/>
    </xf>
    <xf numFmtId="165" fontId="0" fillId="0" borderId="19" applyAlignment="1" pivotButton="0" quotePrefix="0" xfId="2">
      <alignment vertical="center"/>
    </xf>
    <xf numFmtId="165" fontId="0" fillId="0" borderId="20" applyAlignment="1" pivotButton="0" quotePrefix="0" xfId="2">
      <alignment horizontal="center" vertical="center"/>
    </xf>
    <xf numFmtId="165" fontId="10" fillId="0" borderId="20" applyAlignment="1" pivotButton="0" quotePrefix="0" xfId="2">
      <alignment vertical="center"/>
    </xf>
    <xf numFmtId="170" fontId="10" fillId="0" borderId="20" applyAlignment="1" pivotButton="0" quotePrefix="0" xfId="2">
      <alignment vertical="center"/>
    </xf>
    <xf numFmtId="9" fontId="10" fillId="0" borderId="20" applyAlignment="1" pivotButton="0" quotePrefix="0" xfId="3">
      <alignment vertical="center"/>
    </xf>
    <xf numFmtId="165" fontId="0" fillId="0" borderId="18" applyAlignment="1" pivotButton="0" quotePrefix="0" xfId="2">
      <alignment vertical="center"/>
    </xf>
    <xf numFmtId="165" fontId="0" fillId="0" borderId="21" applyAlignment="1" pivotButton="0" quotePrefix="0" xfId="2">
      <alignment vertical="center"/>
    </xf>
    <xf numFmtId="165" fontId="10" fillId="0" borderId="17" applyAlignment="1" pivotButton="0" quotePrefix="0" xfId="2">
      <alignment vertical="center"/>
    </xf>
    <xf numFmtId="165" fontId="35" fillId="0" borderId="18" applyAlignment="1" pivotButton="0" quotePrefix="0" xfId="2">
      <alignment vertical="center"/>
    </xf>
    <xf numFmtId="165" fontId="35" fillId="0" borderId="50" applyAlignment="1" pivotButton="0" quotePrefix="0" xfId="2">
      <alignment vertical="center"/>
    </xf>
    <xf numFmtId="165" fontId="10" fillId="0" borderId="20" applyAlignment="1" pivotButton="0" quotePrefix="0" xfId="1">
      <alignment horizontal="center" vertical="center"/>
    </xf>
    <xf numFmtId="165" fontId="0" fillId="0" borderId="18" applyAlignment="1" pivotButton="0" quotePrefix="0" xfId="2">
      <alignment horizontal="center" vertical="center"/>
    </xf>
    <xf numFmtId="165" fontId="0" fillId="0" borderId="21" applyAlignment="1" pivotButton="0" quotePrefix="0" xfId="2">
      <alignment horizontal="center" vertical="center"/>
    </xf>
    <xf numFmtId="165" fontId="0" fillId="0" borderId="17" applyAlignment="1" pivotButton="0" quotePrefix="0" xfId="2">
      <alignment horizontal="center" vertical="center"/>
    </xf>
    <xf numFmtId="49" fontId="0" fillId="0" borderId="17" applyAlignment="1" pivotButton="0" quotePrefix="0" xfId="2">
      <alignment horizontal="center" vertical="center"/>
    </xf>
    <xf numFmtId="164" fontId="14" fillId="0" borderId="17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7" fillId="0" borderId="12" applyAlignment="1" pivotButton="0" quotePrefix="0" xfId="1">
      <alignment vertical="center"/>
    </xf>
    <xf numFmtId="0" fontId="7" fillId="0" borderId="13" applyAlignment="1" pivotButton="0" quotePrefix="0" xfId="1">
      <alignment vertical="center"/>
    </xf>
    <xf numFmtId="165" fontId="7" fillId="0" borderId="1" applyAlignment="1" pivotButton="0" quotePrefix="0" xfId="1">
      <alignment horizontal="center" vertical="center"/>
    </xf>
    <xf numFmtId="165" fontId="0" fillId="0" borderId="11" applyAlignment="1" pivotButton="0" quotePrefix="0" xfId="2">
      <alignment vertical="center"/>
    </xf>
    <xf numFmtId="165" fontId="0" fillId="0" borderId="12" applyAlignment="1" pivotButton="0" quotePrefix="0" xfId="2">
      <alignment horizontal="center" vertical="center"/>
    </xf>
    <xf numFmtId="165" fontId="10" fillId="0" borderId="12" applyAlignment="1" pivotButton="0" quotePrefix="0" xfId="2">
      <alignment vertical="center"/>
    </xf>
    <xf numFmtId="170" fontId="10" fillId="0" borderId="12" applyAlignment="1" pivotButton="0" quotePrefix="0" xfId="2">
      <alignment vertical="center"/>
    </xf>
    <xf numFmtId="9" fontId="10" fillId="0" borderId="12" applyAlignment="1" pivotButton="0" quotePrefix="0" xfId="3">
      <alignment vertical="center"/>
    </xf>
    <xf numFmtId="165" fontId="0" fillId="0" borderId="1" applyAlignment="1" pivotButton="0" quotePrefix="0" xfId="2">
      <alignment vertical="center"/>
    </xf>
    <xf numFmtId="165" fontId="0" fillId="0" borderId="14" applyAlignment="1" pivotButton="0" quotePrefix="0" xfId="2">
      <alignment vertical="center"/>
    </xf>
    <xf numFmtId="165" fontId="10" fillId="0" borderId="13" applyAlignment="1" pivotButton="0" quotePrefix="0" xfId="2">
      <alignment vertical="center"/>
    </xf>
    <xf numFmtId="165" fontId="35" fillId="0" borderId="1" applyAlignment="1" pivotButton="0" quotePrefix="0" xfId="2">
      <alignment vertical="center"/>
    </xf>
    <xf numFmtId="165" fontId="35" fillId="0" borderId="15" applyAlignment="1" pivotButton="0" quotePrefix="0" xfId="2">
      <alignment vertical="center"/>
    </xf>
    <xf numFmtId="166" fontId="0" fillId="0" borderId="1" applyAlignment="1" pivotButton="0" quotePrefix="0" xfId="2">
      <alignment vertical="center"/>
    </xf>
    <xf numFmtId="165" fontId="10" fillId="0" borderId="12" applyAlignment="1" pivotButton="0" quotePrefix="0" xfId="1">
      <alignment horizontal="center" vertical="center"/>
    </xf>
    <xf numFmtId="164" fontId="0" fillId="0" borderId="13" applyAlignment="1" pivotButton="0" quotePrefix="0" xfId="2">
      <alignment vertical="center"/>
    </xf>
    <xf numFmtId="165" fontId="0" fillId="0" borderId="1" applyAlignment="1" pivotButton="0" quotePrefix="0" xfId="2">
      <alignment horizontal="center" vertical="center"/>
    </xf>
    <xf numFmtId="165" fontId="0" fillId="0" borderId="14" applyAlignment="1" pivotButton="0" quotePrefix="0" xfId="2">
      <alignment horizontal="center" vertical="center"/>
    </xf>
    <xf numFmtId="165" fontId="0" fillId="0" borderId="13" applyAlignment="1" pivotButton="0" quotePrefix="0" xfId="2">
      <alignment horizontal="center" vertical="center"/>
    </xf>
    <xf numFmtId="49" fontId="0" fillId="0" borderId="13" applyAlignment="1" pivotButton="0" quotePrefix="0" xfId="2">
      <alignment horizontal="center" vertical="center"/>
    </xf>
    <xf numFmtId="164" fontId="14" fillId="0" borderId="13" applyAlignment="1" pivotButton="0" quotePrefix="0" xfId="1">
      <alignment horizontal="center" vertical="center"/>
    </xf>
    <xf numFmtId="0" fontId="21" fillId="0" borderId="76" applyAlignment="1" applyProtection="1" pivotButton="0" quotePrefix="0" xfId="0">
      <alignment horizontal="left" vertical="center"/>
      <protection locked="0" hidden="0"/>
    </xf>
    <xf numFmtId="3" fontId="22" fillId="0" borderId="76" applyAlignment="1" applyProtection="1" pivotButton="0" quotePrefix="0" xfId="0">
      <alignment horizontal="right" vertical="center"/>
      <protection locked="0" hidden="0"/>
    </xf>
    <xf numFmtId="0" fontId="22" fillId="0" borderId="76" applyAlignment="1" applyProtection="1" pivotButton="0" quotePrefix="0" xfId="0">
      <alignment horizontal="right" vertical="center"/>
      <protection locked="0" hidden="0"/>
    </xf>
    <xf numFmtId="167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10" fillId="9" borderId="97" applyAlignment="1" pivotButton="0" quotePrefix="0" xfId="1">
      <alignment horizontal="center" vertical="center"/>
    </xf>
    <xf numFmtId="0" fontId="11" fillId="9" borderId="90" applyAlignment="1" pivotButton="0" quotePrefix="0" xfId="1">
      <alignment horizontal="center" vertical="center"/>
    </xf>
    <xf numFmtId="0" fontId="12" fillId="9" borderId="91" applyAlignment="1" pivotButton="0" quotePrefix="0" xfId="1">
      <alignment horizontal="center" vertical="center"/>
    </xf>
    <xf numFmtId="0" fontId="11" fillId="9" borderId="91" applyAlignment="1" pivotButton="0" quotePrefix="0" xfId="1">
      <alignment horizontal="center" vertical="center"/>
    </xf>
    <xf numFmtId="167" fontId="11" fillId="9" borderId="90" applyAlignment="1" pivotButton="0" quotePrefix="0" xfId="1">
      <alignment horizontal="center" vertical="center"/>
    </xf>
    <xf numFmtId="9" fontId="11" fillId="9" borderId="90" applyAlignment="1" pivotButton="0" quotePrefix="0" xfId="3">
      <alignment horizontal="center" vertical="center"/>
    </xf>
    <xf numFmtId="0" fontId="0" fillId="0" borderId="94" pivotButton="0" quotePrefix="0" xfId="0"/>
    <xf numFmtId="0" fontId="0" fillId="0" borderId="91" pivotButton="0" quotePrefix="0" xfId="0"/>
    <xf numFmtId="0" fontId="0" fillId="0" borderId="43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7" fontId="10" fillId="9" borderId="72" applyAlignment="1" pivotButton="0" quotePrefix="0" xfId="1">
      <alignment horizontal="center" vertical="center"/>
    </xf>
    <xf numFmtId="167" fontId="10" fillId="9" borderId="45" applyAlignment="1" pivotButton="0" quotePrefix="0" xfId="1">
      <alignment horizontal="center" vertical="center"/>
    </xf>
    <xf numFmtId="167" fontId="10" fillId="9" borderId="61" applyAlignment="1" pivotButton="0" quotePrefix="0" xfId="1">
      <alignment horizontal="center" vertical="center" wrapText="1"/>
    </xf>
    <xf numFmtId="167" fontId="10" fillId="9" borderId="62" applyAlignment="1" pivotButton="0" quotePrefix="0" xfId="1">
      <alignment horizontal="center" vertical="center" wrapText="1"/>
    </xf>
    <xf numFmtId="167" fontId="10" fillId="9" borderId="6" applyAlignment="1" pivotButton="0" quotePrefix="0" xfId="1">
      <alignment horizontal="center" vertical="center"/>
    </xf>
    <xf numFmtId="167" fontId="10" fillId="9" borderId="44" applyAlignment="1" pivotButton="0" quotePrefix="0" xfId="1">
      <alignment horizontal="center" vertical="center"/>
    </xf>
    <xf numFmtId="164" fontId="13" fillId="9" borderId="6" applyAlignment="1" pivotButton="0" quotePrefix="0" xfId="1">
      <alignment horizontal="center" vertical="center"/>
    </xf>
    <xf numFmtId="165" fontId="7" fillId="10" borderId="33" applyAlignment="1" pivotButton="0" quotePrefix="0" xfId="1">
      <alignment horizontal="center" vertical="center"/>
    </xf>
    <xf numFmtId="165" fontId="0" fillId="10" borderId="39" applyAlignment="1" pivotButton="0" quotePrefix="0" xfId="2">
      <alignment vertical="center"/>
    </xf>
    <xf numFmtId="165" fontId="0" fillId="10" borderId="40" applyAlignment="1" pivotButton="0" quotePrefix="0" xfId="2">
      <alignment horizontal="center" vertical="center"/>
    </xf>
    <xf numFmtId="165" fontId="10" fillId="10" borderId="40" applyAlignment="1" pivotButton="0" quotePrefix="0" xfId="2">
      <alignment vertical="center"/>
    </xf>
    <xf numFmtId="170" fontId="10" fillId="10" borderId="40" applyAlignment="1" pivotButton="0" quotePrefix="0" xfId="2">
      <alignment vertical="center"/>
    </xf>
    <xf numFmtId="165" fontId="0" fillId="0" borderId="33" applyAlignment="1" pivotButton="0" quotePrefix="0" xfId="2">
      <alignment vertical="center"/>
    </xf>
    <xf numFmtId="165" fontId="0" fillId="0" borderId="22" applyAlignment="1" pivotButton="0" quotePrefix="0" xfId="2">
      <alignment vertical="center"/>
    </xf>
    <xf numFmtId="165" fontId="10" fillId="0" borderId="36" applyAlignment="1" pivotButton="0" quotePrefix="0" xfId="2">
      <alignment vertical="center"/>
    </xf>
    <xf numFmtId="165" fontId="35" fillId="13" borderId="33" applyAlignment="1" pivotButton="0" quotePrefix="0" xfId="2">
      <alignment vertical="center"/>
    </xf>
    <xf numFmtId="165" fontId="35" fillId="13" borderId="46" applyAlignment="1" pivotButton="0" quotePrefix="0" xfId="2">
      <alignment vertical="center"/>
    </xf>
    <xf numFmtId="166" fontId="0" fillId="0" borderId="33" applyAlignment="1" pivotButton="0" quotePrefix="0" xfId="2">
      <alignment vertical="center"/>
    </xf>
    <xf numFmtId="165" fontId="10" fillId="10" borderId="40" applyAlignment="1" pivotButton="0" quotePrefix="0" xfId="1">
      <alignment horizontal="center" vertical="center"/>
    </xf>
    <xf numFmtId="164" fontId="0" fillId="0" borderId="36" applyAlignment="1" pivotButton="0" quotePrefix="0" xfId="2">
      <alignment vertical="center"/>
    </xf>
    <xf numFmtId="165" fontId="10" fillId="0" borderId="33" applyAlignment="1" pivotButton="0" quotePrefix="0" xfId="2">
      <alignment vertical="center"/>
    </xf>
    <xf numFmtId="165" fontId="0" fillId="6" borderId="39" applyAlignment="1" pivotButton="0" quotePrefix="0" xfId="2">
      <alignment horizontal="center" vertical="center"/>
    </xf>
    <xf numFmtId="165" fontId="0" fillId="6" borderId="22" applyAlignment="1" pivotButton="0" quotePrefix="0" xfId="2">
      <alignment horizontal="center" vertical="center"/>
    </xf>
    <xf numFmtId="165" fontId="0" fillId="6" borderId="36" applyAlignment="1" pivotButton="0" quotePrefix="0" xfId="2">
      <alignment horizontal="center" vertical="center"/>
    </xf>
    <xf numFmtId="164" fontId="14" fillId="0" borderId="36" applyAlignment="1" pivotButton="0" quotePrefix="0" xfId="1">
      <alignment horizontal="center" vertical="center"/>
    </xf>
    <xf numFmtId="165" fontId="7" fillId="0" borderId="0" applyAlignment="1" pivotButton="0" quotePrefix="0" xfId="1">
      <alignment vertical="center"/>
    </xf>
    <xf numFmtId="0" fontId="0" fillId="0" borderId="8" pivotButton="0" quotePrefix="0" xfId="0"/>
    <xf numFmtId="165" fontId="7" fillId="10" borderId="18" applyAlignment="1" pivotButton="0" quotePrefix="0" xfId="1">
      <alignment horizontal="center" vertical="center"/>
    </xf>
    <xf numFmtId="165" fontId="0" fillId="10" borderId="19" applyAlignment="1" pivotButton="0" quotePrefix="0" xfId="2">
      <alignment vertical="center"/>
    </xf>
    <xf numFmtId="165" fontId="0" fillId="10" borderId="20" applyAlignment="1" pivotButton="0" quotePrefix="0" xfId="2">
      <alignment horizontal="center" vertical="center"/>
    </xf>
    <xf numFmtId="165" fontId="10" fillId="10" borderId="20" applyAlignment="1" pivotButton="0" quotePrefix="0" xfId="2">
      <alignment vertical="center"/>
    </xf>
    <xf numFmtId="170" fontId="10" fillId="10" borderId="20" applyAlignment="1" pivotButton="0" quotePrefix="0" xfId="2">
      <alignment vertical="center"/>
    </xf>
    <xf numFmtId="165" fontId="0" fillId="0" borderId="18" applyAlignment="1" pivotButton="0" quotePrefix="0" xfId="2">
      <alignment vertical="center"/>
    </xf>
    <xf numFmtId="165" fontId="0" fillId="0" borderId="21" applyAlignment="1" pivotButton="0" quotePrefix="0" xfId="2">
      <alignment vertical="center"/>
    </xf>
    <xf numFmtId="165" fontId="10" fillId="0" borderId="17" applyAlignment="1" pivotButton="0" quotePrefix="0" xfId="2">
      <alignment vertical="center"/>
    </xf>
    <xf numFmtId="165" fontId="35" fillId="13" borderId="18" applyAlignment="1" pivotButton="0" quotePrefix="0" xfId="2">
      <alignment vertical="center"/>
    </xf>
    <xf numFmtId="165" fontId="35" fillId="13" borderId="50" applyAlignment="1" pivotButton="0" quotePrefix="0" xfId="2">
      <alignment vertical="center"/>
    </xf>
    <xf numFmtId="166" fontId="0" fillId="0" borderId="18" applyAlignment="1" pivotButton="0" quotePrefix="0" xfId="2">
      <alignment vertical="center"/>
    </xf>
    <xf numFmtId="165" fontId="10" fillId="10" borderId="20" applyAlignment="1" pivotButton="0" quotePrefix="0" xfId="1">
      <alignment horizontal="center" vertical="center"/>
    </xf>
    <xf numFmtId="164" fontId="0" fillId="0" borderId="17" applyAlignment="1" pivotButton="0" quotePrefix="0" xfId="2">
      <alignment vertical="center"/>
    </xf>
    <xf numFmtId="165" fontId="10" fillId="0" borderId="18" applyAlignment="1" pivotButton="0" quotePrefix="0" xfId="2">
      <alignment vertical="center"/>
    </xf>
    <xf numFmtId="165" fontId="0" fillId="6" borderId="19" applyAlignment="1" pivotButton="0" quotePrefix="0" xfId="2">
      <alignment horizontal="center" vertical="center"/>
    </xf>
    <xf numFmtId="165" fontId="0" fillId="6" borderId="21" applyAlignment="1" pivotButton="0" quotePrefix="0" xfId="2">
      <alignment horizontal="center" vertical="center"/>
    </xf>
    <xf numFmtId="165" fontId="0" fillId="6" borderId="17" applyAlignment="1" pivotButton="0" quotePrefix="0" xfId="2">
      <alignment horizontal="center" vertical="center"/>
    </xf>
    <xf numFmtId="164" fontId="14" fillId="0" borderId="17" applyAlignment="1" pivotButton="0" quotePrefix="0" xfId="1">
      <alignment horizontal="center" vertical="center"/>
    </xf>
    <xf numFmtId="165" fontId="0" fillId="10" borderId="19" applyAlignment="1" pivotButton="0" quotePrefix="0" xfId="2">
      <alignment horizontal="center" vertical="center"/>
    </xf>
    <xf numFmtId="165" fontId="0" fillId="10" borderId="21" applyAlignment="1" pivotButton="0" quotePrefix="0" xfId="2">
      <alignment horizontal="center" vertical="center"/>
    </xf>
    <xf numFmtId="165" fontId="0" fillId="10" borderId="17" applyAlignment="1" pivotButton="0" quotePrefix="0" xfId="2">
      <alignment horizontal="center" vertical="center"/>
    </xf>
    <xf numFmtId="165" fontId="0" fillId="10" borderId="18" applyAlignment="1" pivotButton="0" quotePrefix="0" xfId="2">
      <alignment horizontal="center" vertical="center"/>
    </xf>
    <xf numFmtId="167" fontId="7" fillId="0" borderId="37" applyAlignment="1" pivotButton="0" quotePrefix="0" xfId="1">
      <alignment vertical="center"/>
    </xf>
    <xf numFmtId="167" fontId="10" fillId="13" borderId="37" applyAlignment="1" pivotButton="0" quotePrefix="0" xfId="1">
      <alignment vertical="center"/>
    </xf>
    <xf numFmtId="165" fontId="0" fillId="6" borderId="18" applyAlignment="1" pivotButton="0" quotePrefix="0" xfId="2">
      <alignment horizontal="center" vertical="center"/>
    </xf>
    <xf numFmtId="164" fontId="17" fillId="0" borderId="17" applyAlignment="1" pivotButton="0" quotePrefix="0" xfId="1">
      <alignment horizontal="center" vertical="center"/>
    </xf>
    <xf numFmtId="170" fontId="10" fillId="10" borderId="47" applyAlignment="1" pivotButton="0" quotePrefix="0" xfId="2">
      <alignment vertical="center"/>
    </xf>
    <xf numFmtId="165" fontId="10" fillId="0" borderId="20" applyAlignment="1" pivotButton="0" quotePrefix="0" xfId="1">
      <alignment horizontal="center" vertical="center"/>
    </xf>
    <xf numFmtId="165" fontId="0" fillId="0" borderId="9" applyAlignment="1" pivotButton="0" quotePrefix="0" xfId="2">
      <alignment vertical="center"/>
    </xf>
    <xf numFmtId="165" fontId="0" fillId="6" borderId="21" applyAlignment="1" pivotButton="0" quotePrefix="0" xfId="2">
      <alignment vertical="center" wrapText="1"/>
    </xf>
    <xf numFmtId="165" fontId="0" fillId="6" borderId="50" applyAlignment="1" pivotButton="0" quotePrefix="0" xfId="2">
      <alignment horizontal="center" vertical="center" wrapText="1"/>
    </xf>
    <xf numFmtId="0" fontId="0" fillId="0" borderId="23" pivotButton="0" quotePrefix="0" xfId="0"/>
    <xf numFmtId="0" fontId="0" fillId="0" borderId="60" pivotButton="0" quotePrefix="0" xfId="0"/>
    <xf numFmtId="0" fontId="0" fillId="0" borderId="96" pivotButton="0" quotePrefix="0" xfId="0"/>
    <xf numFmtId="165" fontId="0" fillId="0" borderId="0" applyAlignment="1" pivotButton="0" quotePrefix="0" xfId="2">
      <alignment vertical="center"/>
    </xf>
    <xf numFmtId="0" fontId="0" fillId="0" borderId="66" pivotButton="0" quotePrefix="0" xfId="0"/>
    <xf numFmtId="0" fontId="0" fillId="0" borderId="35" pivotButton="0" quotePrefix="0" xfId="0"/>
    <xf numFmtId="165" fontId="0" fillId="10" borderId="18" applyAlignment="1" pivotButton="0" quotePrefix="0" xfId="2">
      <alignment vertical="center"/>
    </xf>
    <xf numFmtId="165" fontId="0" fillId="10" borderId="21" applyAlignment="1" pivotButton="0" quotePrefix="0" xfId="2">
      <alignment vertical="center"/>
    </xf>
    <xf numFmtId="165" fontId="10" fillId="10" borderId="17" applyAlignment="1" pivotButton="0" quotePrefix="0" xfId="2">
      <alignment vertical="center"/>
    </xf>
    <xf numFmtId="166" fontId="0" fillId="10" borderId="18" applyAlignment="1" pivotButton="0" quotePrefix="0" xfId="2">
      <alignment vertical="center"/>
    </xf>
    <xf numFmtId="164" fontId="0" fillId="10" borderId="17" applyAlignment="1" pivotButton="0" quotePrefix="0" xfId="2">
      <alignment vertical="center"/>
    </xf>
    <xf numFmtId="165" fontId="10" fillId="10" borderId="18" applyAlignment="1" pivotButton="0" quotePrefix="0" xfId="2">
      <alignment vertical="center"/>
    </xf>
    <xf numFmtId="164" fontId="14" fillId="10" borderId="17" applyAlignment="1" pivotButton="0" quotePrefix="0" xfId="1">
      <alignment horizontal="center" vertical="center"/>
    </xf>
    <xf numFmtId="165" fontId="7" fillId="10" borderId="24" applyAlignment="1" pivotButton="0" quotePrefix="0" xfId="1">
      <alignment horizontal="center" vertical="center"/>
    </xf>
    <xf numFmtId="165" fontId="0" fillId="10" borderId="25" applyAlignment="1" pivotButton="0" quotePrefix="0" xfId="2">
      <alignment vertical="center"/>
    </xf>
    <xf numFmtId="165" fontId="0" fillId="10" borderId="27" applyAlignment="1" pivotButton="0" quotePrefix="0" xfId="2">
      <alignment horizontal="center" vertical="center"/>
    </xf>
    <xf numFmtId="165" fontId="10" fillId="10" borderId="27" applyAlignment="1" pivotButton="0" quotePrefix="0" xfId="2">
      <alignment vertical="center"/>
    </xf>
    <xf numFmtId="170" fontId="10" fillId="10" borderId="27" applyAlignment="1" pivotButton="0" quotePrefix="0" xfId="2">
      <alignment vertical="center"/>
    </xf>
    <xf numFmtId="165" fontId="0" fillId="10" borderId="24" applyAlignment="1" pivotButton="0" quotePrefix="0" xfId="2">
      <alignment vertical="center"/>
    </xf>
    <xf numFmtId="165" fontId="0" fillId="10" borderId="26" applyAlignment="1" pivotButton="0" quotePrefix="0" xfId="2">
      <alignment vertical="center"/>
    </xf>
    <xf numFmtId="165" fontId="10" fillId="10" borderId="23" applyAlignment="1" pivotButton="0" quotePrefix="0" xfId="2">
      <alignment vertical="center"/>
    </xf>
    <xf numFmtId="165" fontId="35" fillId="13" borderId="24" applyAlignment="1" pivotButton="0" quotePrefix="0" xfId="2">
      <alignment vertical="center"/>
    </xf>
    <xf numFmtId="165" fontId="35" fillId="13" borderId="63" applyAlignment="1" pivotButton="0" quotePrefix="0" xfId="2">
      <alignment vertical="center"/>
    </xf>
    <xf numFmtId="166" fontId="0" fillId="10" borderId="24" applyAlignment="1" pivotButton="0" quotePrefix="0" xfId="2">
      <alignment vertical="center"/>
    </xf>
    <xf numFmtId="165" fontId="10" fillId="10" borderId="27" applyAlignment="1" pivotButton="0" quotePrefix="0" xfId="1">
      <alignment horizontal="center" vertical="center"/>
    </xf>
    <xf numFmtId="164" fontId="0" fillId="10" borderId="23" applyAlignment="1" pivotButton="0" quotePrefix="0" xfId="2">
      <alignment vertical="center"/>
    </xf>
    <xf numFmtId="165" fontId="10" fillId="10" borderId="24" applyAlignment="1" pivotButton="0" quotePrefix="0" xfId="2">
      <alignment vertical="center"/>
    </xf>
    <xf numFmtId="165" fontId="0" fillId="10" borderId="25" applyAlignment="1" pivotButton="0" quotePrefix="0" xfId="2">
      <alignment horizontal="center" vertical="center"/>
    </xf>
    <xf numFmtId="165" fontId="0" fillId="10" borderId="26" applyAlignment="1" pivotButton="0" quotePrefix="0" xfId="2">
      <alignment horizontal="center" vertical="center"/>
    </xf>
    <xf numFmtId="165" fontId="0" fillId="10" borderId="23" applyAlignment="1" pivotButton="0" quotePrefix="0" xfId="2">
      <alignment horizontal="center" vertical="center"/>
    </xf>
    <xf numFmtId="165" fontId="0" fillId="10" borderId="24" applyAlignment="1" pivotButton="0" quotePrefix="0" xfId="2">
      <alignment horizontal="center" vertical="center"/>
    </xf>
    <xf numFmtId="164" fontId="14" fillId="10" borderId="23" applyAlignment="1" pivotButton="0" quotePrefix="0" xfId="1">
      <alignment horizontal="center" vertical="center"/>
    </xf>
    <xf numFmtId="165" fontId="0" fillId="6" borderId="25" applyAlignment="1" pivotButton="0" quotePrefix="0" xfId="2">
      <alignment horizontal="center" vertical="center"/>
    </xf>
    <xf numFmtId="165" fontId="0" fillId="6" borderId="26" applyAlignment="1" pivotButton="0" quotePrefix="0" xfId="2">
      <alignment horizontal="center" vertical="center"/>
    </xf>
    <xf numFmtId="165" fontId="0" fillId="6" borderId="23" applyAlignment="1" pivotButton="0" quotePrefix="0" xfId="2">
      <alignment horizontal="center" vertical="center"/>
    </xf>
    <xf numFmtId="165" fontId="0" fillId="6" borderId="24" applyAlignment="1" pivotButton="0" quotePrefix="0" xfId="2">
      <alignment horizontal="center" vertical="center"/>
    </xf>
    <xf numFmtId="165" fontId="0" fillId="0" borderId="24" applyAlignment="1" pivotButton="0" quotePrefix="0" xfId="2">
      <alignment vertical="center"/>
    </xf>
    <xf numFmtId="165" fontId="0" fillId="0" borderId="26" applyAlignment="1" pivotButton="0" quotePrefix="0" xfId="2">
      <alignment vertical="center"/>
    </xf>
    <xf numFmtId="165" fontId="10" fillId="0" borderId="23" applyAlignment="1" pivotButton="0" quotePrefix="0" xfId="2">
      <alignment vertical="center"/>
    </xf>
    <xf numFmtId="166" fontId="0" fillId="0" borderId="24" applyAlignment="1" pivotButton="0" quotePrefix="0" xfId="2">
      <alignment vertical="center"/>
    </xf>
    <xf numFmtId="165" fontId="10" fillId="0" borderId="27" applyAlignment="1" pivotButton="0" quotePrefix="0" xfId="1">
      <alignment horizontal="center" vertical="center"/>
    </xf>
    <xf numFmtId="164" fontId="0" fillId="0" borderId="23" applyAlignment="1" pivotButton="0" quotePrefix="0" xfId="2">
      <alignment vertical="center"/>
    </xf>
    <xf numFmtId="164" fontId="14" fillId="0" borderId="23" applyAlignment="1" pivotButton="0" quotePrefix="0" xfId="1">
      <alignment horizontal="center" vertical="center"/>
    </xf>
    <xf numFmtId="0" fontId="10" fillId="9" borderId="90" applyAlignment="1" pivotButton="0" quotePrefix="0" xfId="1">
      <alignment horizontal="center" vertical="center"/>
    </xf>
    <xf numFmtId="165" fontId="15" fillId="10" borderId="3" applyAlignment="1" pivotButton="0" quotePrefix="0" xfId="2">
      <alignment horizontal="center" vertical="center"/>
    </xf>
    <xf numFmtId="165" fontId="10" fillId="10" borderId="3" applyAlignment="1" pivotButton="0" quotePrefix="0" xfId="2">
      <alignment vertical="center"/>
    </xf>
    <xf numFmtId="170" fontId="10" fillId="10" borderId="3" applyAlignment="1" pivotButton="0" quotePrefix="0" xfId="2">
      <alignment vertical="center"/>
    </xf>
    <xf numFmtId="166" fontId="0" fillId="0" borderId="5" applyAlignment="1" pivotButton="0" quotePrefix="0" xfId="2">
      <alignment vertical="center"/>
    </xf>
    <xf numFmtId="165" fontId="0" fillId="10" borderId="39" applyAlignment="1" pivotButton="0" quotePrefix="0" xfId="2">
      <alignment horizontal="center" vertical="center"/>
    </xf>
    <xf numFmtId="165" fontId="0" fillId="10" borderId="22" applyAlignment="1" pivotButton="0" quotePrefix="0" xfId="2">
      <alignment horizontal="center" vertical="center"/>
    </xf>
    <xf numFmtId="165" fontId="0" fillId="10" borderId="36" applyAlignment="1" pivotButton="0" quotePrefix="0" xfId="2">
      <alignment horizontal="center" vertical="center"/>
    </xf>
    <xf numFmtId="165" fontId="0" fillId="10" borderId="33" applyAlignment="1" pivotButton="0" quotePrefix="0" xfId="2">
      <alignment horizontal="center" vertical="center"/>
    </xf>
    <xf numFmtId="165" fontId="16" fillId="10" borderId="24" applyAlignment="1" pivotButton="0" quotePrefix="0" xfId="1">
      <alignment horizontal="center" vertical="center"/>
    </xf>
    <xf numFmtId="165" fontId="16" fillId="10" borderId="25" applyAlignment="1" pivotButton="0" quotePrefix="0" xfId="2">
      <alignment vertical="center"/>
    </xf>
    <xf numFmtId="165" fontId="16" fillId="10" borderId="27" applyAlignment="1" pivotButton="0" quotePrefix="0" xfId="2">
      <alignment horizontal="center" vertical="center"/>
    </xf>
    <xf numFmtId="165" fontId="35" fillId="10" borderId="20" applyAlignment="1" pivotButton="0" quotePrefix="0" xfId="2">
      <alignment vertical="center"/>
    </xf>
    <xf numFmtId="170" fontId="35" fillId="10" borderId="20" applyAlignment="1" pivotButton="0" quotePrefix="0" xfId="2">
      <alignment vertical="center"/>
    </xf>
    <xf numFmtId="165" fontId="16" fillId="10" borderId="18" applyAlignment="1" pivotButton="0" quotePrefix="0" xfId="2">
      <alignment vertical="center"/>
    </xf>
    <xf numFmtId="165" fontId="16" fillId="10" borderId="21" applyAlignment="1" pivotButton="0" quotePrefix="0" xfId="2">
      <alignment vertical="center"/>
    </xf>
    <xf numFmtId="165" fontId="35" fillId="10" borderId="17" applyAlignment="1" pivotButton="0" quotePrefix="0" xfId="2">
      <alignment vertical="center"/>
    </xf>
    <xf numFmtId="165" fontId="19" fillId="6" borderId="18" applyAlignment="1" pivotButton="0" quotePrefix="0" xfId="2">
      <alignment horizontal="center" vertical="center"/>
    </xf>
    <xf numFmtId="165" fontId="19" fillId="6" borderId="21" applyAlignment="1" pivotButton="0" quotePrefix="0" xfId="2">
      <alignment horizontal="center" vertical="center"/>
    </xf>
    <xf numFmtId="165" fontId="19" fillId="10" borderId="18" applyAlignment="1" pivotButton="0" quotePrefix="0" xfId="2">
      <alignment horizontal="center" vertical="center"/>
    </xf>
    <xf numFmtId="165" fontId="19" fillId="10" borderId="21" applyAlignment="1" pivotButton="0" quotePrefix="0" xfId="2">
      <alignment horizontal="center" vertical="center"/>
    </xf>
    <xf numFmtId="165" fontId="10" fillId="0" borderId="27" applyAlignment="1" pivotButton="0" quotePrefix="0" xfId="2">
      <alignment vertical="center"/>
    </xf>
    <xf numFmtId="165" fontId="0" fillId="6" borderId="0" applyAlignment="1" pivotButton="0" quotePrefix="0" xfId="2">
      <alignment horizontal="center" vertical="center"/>
    </xf>
    <xf numFmtId="165" fontId="0" fillId="6" borderId="38" applyAlignment="1" pivotButton="0" quotePrefix="0" xfId="2">
      <alignment horizontal="center" vertical="center"/>
    </xf>
    <xf numFmtId="165" fontId="0" fillId="6" borderId="9" applyAlignment="1" pivotButton="0" quotePrefix="0" xfId="2">
      <alignment horizontal="center" vertical="center"/>
    </xf>
    <xf numFmtId="165" fontId="19" fillId="6" borderId="24" applyAlignment="1" pivotButton="0" quotePrefix="0" xfId="2">
      <alignment horizontal="center" vertical="center"/>
    </xf>
    <xf numFmtId="165" fontId="19" fillId="6" borderId="26" applyAlignment="1" pivotButton="0" quotePrefix="0" xfId="2">
      <alignment horizontal="center" vertical="center"/>
    </xf>
    <xf numFmtId="165" fontId="19" fillId="10" borderId="24" applyAlignment="1" pivotButton="0" quotePrefix="0" xfId="2">
      <alignment horizontal="center" vertical="center"/>
    </xf>
    <xf numFmtId="165" fontId="19" fillId="10" borderId="26" applyAlignment="1" pivotButton="0" quotePrefix="0" xfId="2">
      <alignment horizontal="center" vertical="center"/>
    </xf>
    <xf numFmtId="165" fontId="0" fillId="10" borderId="0" applyAlignment="1" pivotButton="0" quotePrefix="0" xfId="2">
      <alignment horizontal="center" vertical="center"/>
    </xf>
    <xf numFmtId="165" fontId="0" fillId="10" borderId="38" applyAlignment="1" pivotButton="0" quotePrefix="0" xfId="2">
      <alignment horizontal="center" vertical="center"/>
    </xf>
    <xf numFmtId="165" fontId="0" fillId="10" borderId="9" applyAlignment="1" pivotButton="0" quotePrefix="0" xfId="2">
      <alignment horizontal="center" vertical="center"/>
    </xf>
    <xf numFmtId="165" fontId="7" fillId="10" borderId="5" applyAlignment="1" pivotButton="0" quotePrefix="0" xfId="1">
      <alignment horizontal="center" vertical="center"/>
    </xf>
    <xf numFmtId="165" fontId="19" fillId="10" borderId="2" applyAlignment="1" pivotButton="0" quotePrefix="0" xfId="2">
      <alignment vertical="center"/>
    </xf>
    <xf numFmtId="165" fontId="0" fillId="10" borderId="3" applyAlignment="1" pivotButton="0" quotePrefix="0" xfId="2">
      <alignment horizontal="center" vertical="center"/>
    </xf>
    <xf numFmtId="165" fontId="0" fillId="0" borderId="5" applyAlignment="1" pivotButton="0" quotePrefix="0" xfId="2">
      <alignment vertical="center"/>
    </xf>
    <xf numFmtId="165" fontId="0" fillId="0" borderId="10" applyAlignment="1" pivotButton="0" quotePrefix="0" xfId="2">
      <alignment vertical="center"/>
    </xf>
    <xf numFmtId="165" fontId="10" fillId="0" borderId="4" applyAlignment="1" pivotButton="0" quotePrefix="0" xfId="2">
      <alignment vertical="center"/>
    </xf>
    <xf numFmtId="165" fontId="35" fillId="13" borderId="5" applyAlignment="1" pivotButton="0" quotePrefix="0" xfId="2">
      <alignment vertical="center"/>
    </xf>
    <xf numFmtId="165" fontId="35" fillId="13" borderId="86" applyAlignment="1" pivotButton="0" quotePrefix="0" xfId="2">
      <alignment vertical="center"/>
    </xf>
    <xf numFmtId="165" fontId="10" fillId="10" borderId="3" applyAlignment="1" pivotButton="0" quotePrefix="0" xfId="1">
      <alignment horizontal="center" vertical="center"/>
    </xf>
    <xf numFmtId="164" fontId="0" fillId="0" borderId="4" applyAlignment="1" pivotButton="0" quotePrefix="0" xfId="2">
      <alignment vertical="center"/>
    </xf>
    <xf numFmtId="165" fontId="10" fillId="0" borderId="5" applyAlignment="1" pivotButton="0" quotePrefix="0" xfId="2">
      <alignment vertical="center"/>
    </xf>
    <xf numFmtId="165" fontId="0" fillId="10" borderId="2" applyAlignment="1" pivotButton="0" quotePrefix="0" xfId="2">
      <alignment horizontal="center" vertical="center"/>
    </xf>
    <xf numFmtId="165" fontId="0" fillId="10" borderId="10" applyAlignment="1" pivotButton="0" quotePrefix="0" xfId="2">
      <alignment horizontal="center" vertical="center"/>
    </xf>
    <xf numFmtId="165" fontId="0" fillId="10" borderId="4" applyAlignment="1" pivotButton="0" quotePrefix="0" xfId="2">
      <alignment horizontal="center" vertical="center"/>
    </xf>
    <xf numFmtId="165" fontId="0" fillId="10" borderId="5" applyAlignment="1" pivotButton="0" quotePrefix="0" xfId="2">
      <alignment horizontal="center" vertical="center"/>
    </xf>
    <xf numFmtId="164" fontId="14" fillId="0" borderId="3" applyAlignment="1" pivotButton="0" quotePrefix="0" xfId="1">
      <alignment horizontal="center" vertical="center"/>
    </xf>
    <xf numFmtId="165" fontId="19" fillId="10" borderId="25" applyAlignment="1" pivotButton="0" quotePrefix="0" xfId="2">
      <alignment vertical="center"/>
    </xf>
    <xf numFmtId="165" fontId="10" fillId="0" borderId="24" applyAlignment="1" pivotButton="0" quotePrefix="0" xfId="2">
      <alignment vertical="center"/>
    </xf>
    <xf numFmtId="164" fontId="14" fillId="0" borderId="27" applyAlignment="1" pivotButton="0" quotePrefix="0" xfId="1">
      <alignment horizontal="center" vertical="center"/>
    </xf>
    <xf numFmtId="165" fontId="7" fillId="10" borderId="30" applyAlignment="1" pivotButton="0" quotePrefix="0" xfId="1">
      <alignment horizontal="center" vertical="center"/>
    </xf>
    <xf numFmtId="165" fontId="19" fillId="10" borderId="31" applyAlignment="1" pivotButton="0" quotePrefix="0" xfId="2">
      <alignment vertical="center"/>
    </xf>
    <xf numFmtId="165" fontId="0" fillId="10" borderId="28" applyAlignment="1" pivotButton="0" quotePrefix="0" xfId="2">
      <alignment horizontal="center" vertical="center"/>
    </xf>
    <xf numFmtId="165" fontId="10" fillId="10" borderId="28" applyAlignment="1" pivotButton="0" quotePrefix="0" xfId="2">
      <alignment vertical="center"/>
    </xf>
    <xf numFmtId="170" fontId="10" fillId="10" borderId="28" applyAlignment="1" pivotButton="0" quotePrefix="0" xfId="2">
      <alignment vertical="center"/>
    </xf>
    <xf numFmtId="165" fontId="0" fillId="0" borderId="30" applyAlignment="1" pivotButton="0" quotePrefix="0" xfId="2">
      <alignment vertical="center"/>
    </xf>
    <xf numFmtId="165" fontId="0" fillId="0" borderId="32" applyAlignment="1" pivotButton="0" quotePrefix="0" xfId="2">
      <alignment vertical="center"/>
    </xf>
    <xf numFmtId="165" fontId="10" fillId="0" borderId="29" applyAlignment="1" pivotButton="0" quotePrefix="0" xfId="2">
      <alignment vertical="center"/>
    </xf>
    <xf numFmtId="165" fontId="35" fillId="13" borderId="30" applyAlignment="1" pivotButton="0" quotePrefix="0" xfId="2">
      <alignment vertical="center"/>
    </xf>
    <xf numFmtId="165" fontId="35" fillId="13" borderId="65" applyAlignment="1" pivotButton="0" quotePrefix="0" xfId="2">
      <alignment vertical="center"/>
    </xf>
    <xf numFmtId="166" fontId="0" fillId="0" borderId="30" applyAlignment="1" pivotButton="0" quotePrefix="0" xfId="2">
      <alignment vertical="center"/>
    </xf>
    <xf numFmtId="165" fontId="10" fillId="10" borderId="28" applyAlignment="1" pivotButton="0" quotePrefix="0" xfId="1">
      <alignment horizontal="center" vertical="center"/>
    </xf>
    <xf numFmtId="164" fontId="0" fillId="0" borderId="29" applyAlignment="1" pivotButton="0" quotePrefix="0" xfId="2">
      <alignment vertical="center"/>
    </xf>
    <xf numFmtId="165" fontId="10" fillId="0" borderId="30" applyAlignment="1" pivotButton="0" quotePrefix="0" xfId="2">
      <alignment vertical="center"/>
    </xf>
    <xf numFmtId="165" fontId="0" fillId="10" borderId="31" applyAlignment="1" pivotButton="0" quotePrefix="0" xfId="2">
      <alignment horizontal="center" vertical="center"/>
    </xf>
    <xf numFmtId="165" fontId="0" fillId="10" borderId="32" applyAlignment="1" pivotButton="0" quotePrefix="0" xfId="2">
      <alignment horizontal="center" vertical="center"/>
    </xf>
    <xf numFmtId="165" fontId="0" fillId="10" borderId="29" applyAlignment="1" pivotButton="0" quotePrefix="0" xfId="2">
      <alignment horizontal="center" vertical="center"/>
    </xf>
    <xf numFmtId="165" fontId="0" fillId="10" borderId="30" applyAlignment="1" pivotButton="0" quotePrefix="0" xfId="2">
      <alignment horizontal="center" vertical="center"/>
    </xf>
    <xf numFmtId="164" fontId="14" fillId="0" borderId="28" applyAlignment="1" pivotButton="0" quotePrefix="0" xfId="1">
      <alignment horizontal="center" vertical="center"/>
    </xf>
    <xf numFmtId="166" fontId="0" fillId="0" borderId="36" applyAlignment="1" pivotButton="0" quotePrefix="0" xfId="2">
      <alignment vertical="center"/>
    </xf>
    <xf numFmtId="165" fontId="10" fillId="0" borderId="40" applyAlignment="1" pivotButton="0" quotePrefix="0" xfId="1">
      <alignment horizontal="center" vertical="center"/>
    </xf>
    <xf numFmtId="166" fontId="0" fillId="0" borderId="17" applyAlignment="1" pivotButton="0" quotePrefix="0" xfId="2">
      <alignment vertical="center"/>
    </xf>
    <xf numFmtId="165" fontId="7" fillId="0" borderId="18" applyAlignment="1" pivotButton="0" quotePrefix="0" xfId="1">
      <alignment horizontal="center" vertical="center"/>
    </xf>
    <xf numFmtId="165" fontId="0" fillId="0" borderId="19" applyAlignment="1" pivotButton="0" quotePrefix="0" xfId="2">
      <alignment vertical="center"/>
    </xf>
    <xf numFmtId="165" fontId="0" fillId="0" borderId="20" applyAlignment="1" pivotButton="0" quotePrefix="0" xfId="2">
      <alignment horizontal="center" vertical="center"/>
    </xf>
    <xf numFmtId="165" fontId="10" fillId="0" borderId="20" applyAlignment="1" pivotButton="0" quotePrefix="0" xfId="2">
      <alignment vertical="center"/>
    </xf>
    <xf numFmtId="170" fontId="10" fillId="0" borderId="20" applyAlignment="1" pivotButton="0" quotePrefix="0" xfId="2">
      <alignment vertical="center"/>
    </xf>
    <xf numFmtId="165" fontId="35" fillId="0" borderId="18" applyAlignment="1" pivotButton="0" quotePrefix="0" xfId="2">
      <alignment vertical="center"/>
    </xf>
    <xf numFmtId="165" fontId="35" fillId="0" borderId="50" applyAlignment="1" pivotButton="0" quotePrefix="0" xfId="2">
      <alignment vertical="center"/>
    </xf>
    <xf numFmtId="165" fontId="0" fillId="0" borderId="18" applyAlignment="1" pivotButton="0" quotePrefix="0" xfId="2">
      <alignment horizontal="center" vertical="center"/>
    </xf>
    <xf numFmtId="165" fontId="0" fillId="0" borderId="21" applyAlignment="1" pivotButton="0" quotePrefix="0" xfId="2">
      <alignment horizontal="center" vertical="center"/>
    </xf>
    <xf numFmtId="165" fontId="0" fillId="0" borderId="17" applyAlignment="1" pivotButton="0" quotePrefix="0" xfId="2">
      <alignment horizontal="center" vertical="center"/>
    </xf>
    <xf numFmtId="165" fontId="7" fillId="0" borderId="1" applyAlignment="1" pivotButton="0" quotePrefix="0" xfId="1">
      <alignment horizontal="center" vertical="center"/>
    </xf>
    <xf numFmtId="165" fontId="0" fillId="0" borderId="11" applyAlignment="1" pivotButton="0" quotePrefix="0" xfId="2">
      <alignment vertical="center"/>
    </xf>
    <xf numFmtId="165" fontId="0" fillId="0" borderId="12" applyAlignment="1" pivotButton="0" quotePrefix="0" xfId="2">
      <alignment horizontal="center" vertical="center"/>
    </xf>
    <xf numFmtId="165" fontId="10" fillId="0" borderId="12" applyAlignment="1" pivotButton="0" quotePrefix="0" xfId="2">
      <alignment vertical="center"/>
    </xf>
    <xf numFmtId="170" fontId="10" fillId="0" borderId="12" applyAlignment="1" pivotButton="0" quotePrefix="0" xfId="2">
      <alignment vertical="center"/>
    </xf>
    <xf numFmtId="165" fontId="0" fillId="0" borderId="1" applyAlignment="1" pivotButton="0" quotePrefix="0" xfId="2">
      <alignment vertical="center"/>
    </xf>
    <xf numFmtId="165" fontId="0" fillId="0" borderId="14" applyAlignment="1" pivotButton="0" quotePrefix="0" xfId="2">
      <alignment vertical="center"/>
    </xf>
    <xf numFmtId="165" fontId="10" fillId="0" borderId="13" applyAlignment="1" pivotButton="0" quotePrefix="0" xfId="2">
      <alignment vertical="center"/>
    </xf>
    <xf numFmtId="165" fontId="35" fillId="0" borderId="1" applyAlignment="1" pivotButton="0" quotePrefix="0" xfId="2">
      <alignment vertical="center"/>
    </xf>
    <xf numFmtId="165" fontId="35" fillId="0" borderId="15" applyAlignment="1" pivotButton="0" quotePrefix="0" xfId="2">
      <alignment vertical="center"/>
    </xf>
    <xf numFmtId="166" fontId="0" fillId="0" borderId="1" applyAlignment="1" pivotButton="0" quotePrefix="0" xfId="2">
      <alignment vertical="center"/>
    </xf>
    <xf numFmtId="165" fontId="10" fillId="0" borderId="12" applyAlignment="1" pivotButton="0" quotePrefix="0" xfId="1">
      <alignment horizontal="center" vertical="center"/>
    </xf>
    <xf numFmtId="164" fontId="0" fillId="0" borderId="13" applyAlignment="1" pivotButton="0" quotePrefix="0" xfId="2">
      <alignment vertical="center"/>
    </xf>
    <xf numFmtId="165" fontId="0" fillId="0" borderId="1" applyAlignment="1" pivotButton="0" quotePrefix="0" xfId="2">
      <alignment horizontal="center" vertical="center"/>
    </xf>
    <xf numFmtId="165" fontId="0" fillId="0" borderId="14" applyAlignment="1" pivotButton="0" quotePrefix="0" xfId="2">
      <alignment horizontal="center" vertical="center"/>
    </xf>
    <xf numFmtId="165" fontId="0" fillId="0" borderId="13" applyAlignment="1" pivotButton="0" quotePrefix="0" xfId="2">
      <alignment horizontal="center" vertical="center"/>
    </xf>
    <xf numFmtId="164" fontId="14" fillId="0" borderId="1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0" fillId="10" borderId="42" applyAlignment="1" pivotButton="0" quotePrefix="0" xfId="2">
      <alignment vertical="center"/>
    </xf>
    <xf numFmtId="165" fontId="0" fillId="10" borderId="6" applyAlignment="1" pivotButton="0" quotePrefix="0" xfId="2">
      <alignment horizontal="center" vertical="center"/>
    </xf>
    <xf numFmtId="165" fontId="10" fillId="10" borderId="42" applyAlignment="1" pivotButton="0" quotePrefix="0" xfId="2">
      <alignment vertical="center"/>
    </xf>
    <xf numFmtId="170" fontId="10" fillId="10" borderId="42" applyAlignment="1" pivotButton="0" quotePrefix="0" xfId="2">
      <alignment vertical="center"/>
    </xf>
    <xf numFmtId="165" fontId="0" fillId="0" borderId="43" applyAlignment="1" pivotButton="0" quotePrefix="0" xfId="2">
      <alignment vertical="center"/>
    </xf>
    <xf numFmtId="165" fontId="0" fillId="0" borderId="45" applyAlignment="1" pivotButton="0" quotePrefix="0" xfId="2">
      <alignment vertical="center"/>
    </xf>
    <xf numFmtId="165" fontId="10" fillId="0" borderId="6" applyAlignment="1" pivotButton="0" quotePrefix="0" xfId="2">
      <alignment vertical="center"/>
    </xf>
    <xf numFmtId="165" fontId="35" fillId="13" borderId="43" applyAlignment="1" pivotButton="0" quotePrefix="0" xfId="2">
      <alignment vertical="center"/>
    </xf>
    <xf numFmtId="165" fontId="35" fillId="13" borderId="61" applyAlignment="1" pivotButton="0" quotePrefix="0" xfId="2">
      <alignment vertical="center"/>
    </xf>
    <xf numFmtId="166" fontId="0" fillId="0" borderId="43" applyAlignment="1" pivotButton="0" quotePrefix="0" xfId="2">
      <alignment vertical="center"/>
    </xf>
    <xf numFmtId="165" fontId="10" fillId="0" borderId="42" applyAlignment="1" pivotButton="0" quotePrefix="0" xfId="1">
      <alignment horizontal="center" vertical="center"/>
    </xf>
    <xf numFmtId="164" fontId="0" fillId="0" borderId="6" applyAlignment="1" pivotButton="0" quotePrefix="0" xfId="2">
      <alignment vertical="center"/>
    </xf>
    <xf numFmtId="165" fontId="0" fillId="10" borderId="43" applyAlignment="1" pivotButton="0" quotePrefix="0" xfId="2">
      <alignment horizontal="center" vertical="center"/>
    </xf>
    <xf numFmtId="165" fontId="0" fillId="10" borderId="45" applyAlignment="1" pivotButton="0" quotePrefix="0" xfId="2">
      <alignment horizontal="center" vertical="center"/>
    </xf>
    <xf numFmtId="164" fontId="14" fillId="0" borderId="6" applyAlignment="1" pivotButton="0" quotePrefix="0" xfId="1">
      <alignment horizontal="center" vertical="center"/>
    </xf>
    <xf numFmtId="165" fontId="0" fillId="10" borderId="3" applyAlignment="1" pivotButton="0" quotePrefix="0" xfId="2">
      <alignment vertical="center"/>
    </xf>
    <xf numFmtId="165" fontId="10" fillId="0" borderId="3" applyAlignment="1" pivotButton="0" quotePrefix="0" xfId="1">
      <alignment horizontal="center" vertical="center"/>
    </xf>
    <xf numFmtId="164" fontId="14" fillId="0" borderId="4" applyAlignment="1" pivotButton="0" quotePrefix="0" xfId="1">
      <alignment horizontal="center" vertical="center"/>
    </xf>
    <xf numFmtId="165" fontId="0" fillId="10" borderId="20" applyAlignment="1" pivotButton="0" quotePrefix="0" xfId="2">
      <alignment vertical="center"/>
    </xf>
    <xf numFmtId="165" fontId="0" fillId="10" borderId="28" applyAlignment="1" pivotButton="0" quotePrefix="0" xfId="2">
      <alignment vertical="center"/>
    </xf>
    <xf numFmtId="165" fontId="10" fillId="0" borderId="28" applyAlignment="1" pivotButton="0" quotePrefix="0" xfId="1">
      <alignment horizontal="center" vertical="center"/>
    </xf>
    <xf numFmtId="164" fontId="14" fillId="0" borderId="29" applyAlignment="1" pivotButton="0" quotePrefix="0" xfId="1">
      <alignment horizontal="center" vertical="center"/>
    </xf>
    <xf numFmtId="165" fontId="0" fillId="10" borderId="40" applyAlignment="1" pivotButton="0" quotePrefix="0" xfId="2">
      <alignment vertical="center"/>
    </xf>
    <xf numFmtId="165" fontId="7" fillId="10" borderId="48" applyAlignment="1" pivotButton="0" quotePrefix="0" xfId="1">
      <alignment horizontal="center" vertical="center"/>
    </xf>
    <xf numFmtId="165" fontId="0" fillId="10" borderId="47" applyAlignment="1" pivotButton="0" quotePrefix="0" xfId="2">
      <alignment vertical="center"/>
    </xf>
    <xf numFmtId="165" fontId="0" fillId="10" borderId="35" applyAlignment="1" pivotButton="0" quotePrefix="0" xfId="2">
      <alignment horizontal="center" vertical="center"/>
    </xf>
    <xf numFmtId="165" fontId="10" fillId="10" borderId="47" applyAlignment="1" pivotButton="0" quotePrefix="0" xfId="2">
      <alignment vertical="center"/>
    </xf>
    <xf numFmtId="165" fontId="0" fillId="0" borderId="48" applyAlignment="1" pivotButton="0" quotePrefix="0" xfId="2">
      <alignment vertical="center"/>
    </xf>
    <xf numFmtId="165" fontId="0" fillId="0" borderId="34" applyAlignment="1" pivotButton="0" quotePrefix="0" xfId="2">
      <alignment vertical="center"/>
    </xf>
    <xf numFmtId="165" fontId="10" fillId="0" borderId="35" applyAlignment="1" pivotButton="0" quotePrefix="0" xfId="2">
      <alignment vertical="center"/>
    </xf>
    <xf numFmtId="165" fontId="35" fillId="13" borderId="48" applyAlignment="1" pivotButton="0" quotePrefix="0" xfId="2">
      <alignment vertical="center"/>
    </xf>
    <xf numFmtId="165" fontId="35" fillId="13" borderId="49" applyAlignment="1" pivotButton="0" quotePrefix="0" xfId="2">
      <alignment vertical="center"/>
    </xf>
    <xf numFmtId="166" fontId="0" fillId="0" borderId="48" applyAlignment="1" pivotButton="0" quotePrefix="0" xfId="2">
      <alignment vertical="center"/>
    </xf>
    <xf numFmtId="165" fontId="10" fillId="0" borderId="47" applyAlignment="1" pivotButton="0" quotePrefix="0" xfId="1">
      <alignment horizontal="center" vertical="center"/>
    </xf>
    <xf numFmtId="164" fontId="0" fillId="0" borderId="35" applyAlignment="1" pivotButton="0" quotePrefix="0" xfId="2">
      <alignment vertical="center"/>
    </xf>
    <xf numFmtId="165" fontId="0" fillId="10" borderId="48" applyAlignment="1" pivotButton="0" quotePrefix="0" xfId="2">
      <alignment horizontal="center" vertical="center"/>
    </xf>
    <xf numFmtId="165" fontId="0" fillId="10" borderId="34" applyAlignment="1" pivotButton="0" quotePrefix="0" xfId="2">
      <alignment horizontal="center" vertical="center"/>
    </xf>
    <xf numFmtId="164" fontId="14" fillId="0" borderId="35" applyAlignment="1" pivotButton="0" quotePrefix="0" xfId="1">
      <alignment horizontal="center" vertical="center"/>
    </xf>
    <xf numFmtId="165" fontId="7" fillId="10" borderId="35" applyAlignment="1" pivotButton="0" quotePrefix="0" xfId="1">
      <alignment horizontal="center" vertical="center"/>
    </xf>
    <xf numFmtId="164" fontId="14" fillId="0" borderId="47" applyAlignment="1" pivotButton="0" quotePrefix="0" xfId="1">
      <alignment horizontal="center" vertical="center"/>
    </xf>
    <xf numFmtId="165" fontId="7" fillId="10" borderId="9" applyAlignment="1" pivotButton="0" quotePrefix="0" xfId="1">
      <alignment horizontal="center" vertical="center"/>
    </xf>
    <xf numFmtId="165" fontId="0" fillId="10" borderId="8" applyAlignment="1" pivotButton="0" quotePrefix="0" xfId="2">
      <alignment vertical="center"/>
    </xf>
    <xf numFmtId="165" fontId="10" fillId="10" borderId="8" applyAlignment="1" pivotButton="0" quotePrefix="0" xfId="2">
      <alignment vertical="center"/>
    </xf>
    <xf numFmtId="170" fontId="10" fillId="10" borderId="8" applyAlignment="1" pivotButton="0" quotePrefix="0" xfId="2">
      <alignment vertical="center"/>
    </xf>
    <xf numFmtId="165" fontId="0" fillId="0" borderId="38" applyAlignment="1" pivotButton="0" quotePrefix="0" xfId="2">
      <alignment vertical="center"/>
    </xf>
    <xf numFmtId="165" fontId="10" fillId="0" borderId="9" applyAlignment="1" pivotButton="0" quotePrefix="0" xfId="2">
      <alignment vertical="center"/>
    </xf>
    <xf numFmtId="165" fontId="35" fillId="13" borderId="0" applyAlignment="1" pivotButton="0" quotePrefix="0" xfId="2">
      <alignment vertical="center"/>
    </xf>
    <xf numFmtId="165" fontId="35" fillId="13" borderId="59" applyAlignment="1" pivotButton="0" quotePrefix="0" xfId="2">
      <alignment vertical="center"/>
    </xf>
    <xf numFmtId="166" fontId="0" fillId="0" borderId="0" applyAlignment="1" pivotButton="0" quotePrefix="0" xfId="2">
      <alignment vertical="center"/>
    </xf>
    <xf numFmtId="165" fontId="10" fillId="0" borderId="8" applyAlignment="1" pivotButton="0" quotePrefix="0" xfId="1">
      <alignment horizontal="center" vertical="center"/>
    </xf>
    <xf numFmtId="164" fontId="0" fillId="0" borderId="9" applyAlignment="1" pivotButton="0" quotePrefix="0" xfId="2">
      <alignment vertical="center"/>
    </xf>
    <xf numFmtId="164" fontId="14" fillId="0" borderId="8" applyAlignment="1" pivotButton="0" quotePrefix="0" xfId="1">
      <alignment horizontal="center" vertical="center"/>
    </xf>
    <xf numFmtId="165" fontId="7" fillId="10" borderId="17" applyAlignment="1" pivotButton="0" quotePrefix="0" xfId="1">
      <alignment horizontal="center" vertical="center"/>
    </xf>
    <xf numFmtId="165" fontId="15" fillId="10" borderId="18" applyAlignment="1" pivotButton="0" quotePrefix="0" xfId="2">
      <alignment horizontal="center" vertical="center"/>
    </xf>
    <xf numFmtId="165" fontId="15" fillId="10" borderId="21" applyAlignment="1" pivotButton="0" quotePrefix="0" xfId="2">
      <alignment horizontal="center" vertical="center"/>
    </xf>
    <xf numFmtId="165" fontId="15" fillId="10" borderId="17" applyAlignment="1" pivotButton="0" quotePrefix="0" xfId="2">
      <alignment horizontal="center" vertical="center"/>
    </xf>
    <xf numFmtId="164" fontId="14" fillId="0" borderId="20" applyAlignment="1" pivotButton="0" quotePrefix="0" xfId="1">
      <alignment horizontal="center" vertical="center"/>
    </xf>
    <xf numFmtId="165" fontId="19" fillId="10" borderId="20" applyAlignment="1" pivotButton="0" quotePrefix="0" xfId="2">
      <alignment horizontal="right" vertical="center"/>
    </xf>
    <xf numFmtId="165" fontId="19" fillId="10" borderId="27" applyAlignment="1" pivotButton="0" quotePrefix="0" xfId="2">
      <alignment horizontal="right" vertical="center"/>
    </xf>
    <xf numFmtId="165" fontId="10" fillId="10" borderId="8" applyAlignment="1" pivotButton="0" quotePrefix="0" xfId="1">
      <alignment horizontal="center" vertical="center"/>
    </xf>
    <xf numFmtId="165" fontId="15" fillId="10" borderId="0" applyAlignment="1" pivotButton="0" quotePrefix="0" xfId="2">
      <alignment horizontal="center" vertical="center"/>
    </xf>
    <xf numFmtId="165" fontId="15" fillId="10" borderId="38" applyAlignment="1" pivotButton="0" quotePrefix="0" xfId="2">
      <alignment horizontal="center" vertical="center"/>
    </xf>
    <xf numFmtId="165" fontId="15" fillId="10" borderId="9" applyAlignment="1" pivotButton="0" quotePrefix="0" xfId="2">
      <alignment horizontal="center" vertical="center"/>
    </xf>
    <xf numFmtId="164" fontId="14" fillId="10" borderId="27" applyAlignment="1" pivotButton="0" quotePrefix="0" xfId="1">
      <alignment horizontal="center" vertical="center"/>
    </xf>
    <xf numFmtId="164" fontId="14" fillId="10" borderId="20" applyAlignment="1" pivotButton="0" quotePrefix="0" xfId="1">
      <alignment horizontal="center" vertical="center"/>
    </xf>
    <xf numFmtId="165" fontId="10" fillId="10" borderId="47" applyAlignment="1" pivotButton="0" quotePrefix="0" xfId="1">
      <alignment horizontal="center" vertical="center"/>
    </xf>
    <xf numFmtId="164" fontId="14" fillId="10" borderId="47" applyAlignment="1" pivotButton="0" quotePrefix="0" xfId="1">
      <alignment horizontal="center" vertical="center"/>
    </xf>
    <xf numFmtId="165" fontId="0" fillId="10" borderId="48" applyAlignment="1" pivotButton="0" quotePrefix="0" xfId="2">
      <alignment vertical="center"/>
    </xf>
    <xf numFmtId="165" fontId="0" fillId="10" borderId="34" applyAlignment="1" pivotButton="0" quotePrefix="0" xfId="2">
      <alignment vertical="center"/>
    </xf>
    <xf numFmtId="165" fontId="10" fillId="10" borderId="35" applyAlignment="1" pivotButton="0" quotePrefix="0" xfId="2">
      <alignment vertical="center"/>
    </xf>
    <xf numFmtId="164" fontId="0" fillId="10" borderId="35" applyAlignment="1" pivotButton="0" quotePrefix="0" xfId="2">
      <alignment vertical="center"/>
    </xf>
    <xf numFmtId="165" fontId="7" fillId="6" borderId="35" applyAlignment="1" pivotButton="0" quotePrefix="0" xfId="1">
      <alignment horizontal="center" vertical="center"/>
    </xf>
    <xf numFmtId="165" fontId="19" fillId="6" borderId="20" applyAlignment="1" pivotButton="0" quotePrefix="0" xfId="2">
      <alignment horizontal="right" vertical="center"/>
    </xf>
    <xf numFmtId="165" fontId="0" fillId="6" borderId="35" applyAlignment="1" pivotButton="0" quotePrefix="0" xfId="2">
      <alignment horizontal="center" vertical="center"/>
    </xf>
    <xf numFmtId="165" fontId="10" fillId="6" borderId="47" applyAlignment="1" pivotButton="0" quotePrefix="0" xfId="2">
      <alignment vertical="center"/>
    </xf>
    <xf numFmtId="170" fontId="10" fillId="6" borderId="47" applyAlignment="1" pivotButton="0" quotePrefix="0" xfId="2">
      <alignment vertical="center"/>
    </xf>
    <xf numFmtId="165" fontId="0" fillId="6" borderId="48" applyAlignment="1" pivotButton="0" quotePrefix="0" xfId="2">
      <alignment vertical="center"/>
    </xf>
    <xf numFmtId="165" fontId="0" fillId="6" borderId="34" applyAlignment="1" pivotButton="0" quotePrefix="0" xfId="2">
      <alignment vertical="center"/>
    </xf>
    <xf numFmtId="165" fontId="10" fillId="6" borderId="35" applyAlignment="1" pivotButton="0" quotePrefix="0" xfId="2">
      <alignment vertical="center"/>
    </xf>
    <xf numFmtId="165" fontId="35" fillId="6" borderId="48" applyAlignment="1" pivotButton="0" quotePrefix="0" xfId="2">
      <alignment vertical="center"/>
    </xf>
    <xf numFmtId="165" fontId="35" fillId="6" borderId="49" applyAlignment="1" pivotButton="0" quotePrefix="0" xfId="2">
      <alignment vertical="center"/>
    </xf>
    <xf numFmtId="166" fontId="0" fillId="6" borderId="18" applyAlignment="1" pivotButton="0" quotePrefix="0" xfId="2">
      <alignment vertical="center"/>
    </xf>
    <xf numFmtId="165" fontId="10" fillId="6" borderId="47" applyAlignment="1" pivotButton="0" quotePrefix="0" xfId="1">
      <alignment horizontal="center" vertical="center"/>
    </xf>
    <xf numFmtId="164" fontId="0" fillId="6" borderId="35" applyAlignment="1" pivotButton="0" quotePrefix="0" xfId="2">
      <alignment vertical="center"/>
    </xf>
    <xf numFmtId="165" fontId="0" fillId="6" borderId="48" applyAlignment="1" pivotButton="0" quotePrefix="0" xfId="2">
      <alignment horizontal="center" vertical="center"/>
    </xf>
    <xf numFmtId="165" fontId="0" fillId="6" borderId="34" applyAlignment="1" pivotButton="0" quotePrefix="0" xfId="2">
      <alignment horizontal="center" vertical="center"/>
    </xf>
    <xf numFmtId="164" fontId="14" fillId="6" borderId="47" applyAlignment="1" pivotButton="0" quotePrefix="0" xfId="1">
      <alignment horizontal="center" vertical="center"/>
    </xf>
    <xf numFmtId="165" fontId="16" fillId="10" borderId="20" applyAlignment="1" pivotButton="0" quotePrefix="0" xfId="2">
      <alignment horizontal="right" vertical="center"/>
    </xf>
    <xf numFmtId="165" fontId="19" fillId="10" borderId="47" applyAlignment="1" pivotButton="0" quotePrefix="0" xfId="2">
      <alignment horizontal="right" vertical="center"/>
    </xf>
    <xf numFmtId="166" fontId="0" fillId="10" borderId="48" applyAlignment="1" pivotButton="0" quotePrefix="0" xfId="2">
      <alignment vertical="center"/>
    </xf>
    <xf numFmtId="165" fontId="0" fillId="6" borderId="47" applyAlignment="1" pivotButton="0" quotePrefix="0" xfId="2">
      <alignment vertical="center"/>
    </xf>
    <xf numFmtId="166" fontId="0" fillId="6" borderId="48" applyAlignment="1" pivotButton="0" quotePrefix="0" xfId="2">
      <alignment vertical="center"/>
    </xf>
    <xf numFmtId="165" fontId="10" fillId="0" borderId="50" applyAlignment="1" pivotButton="0" quotePrefix="0" xfId="2">
      <alignment vertical="center"/>
    </xf>
    <xf numFmtId="165" fontId="10" fillId="6" borderId="49" applyAlignment="1" pivotButton="0" quotePrefix="0" xfId="2">
      <alignment vertical="center"/>
    </xf>
    <xf numFmtId="165" fontId="10" fillId="0" borderId="49" applyAlignment="1" pivotButton="0" quotePrefix="0" xfId="2">
      <alignment vertical="center"/>
    </xf>
    <xf numFmtId="165" fontId="10" fillId="0" borderId="59" applyAlignment="1" pivotButton="0" quotePrefix="0" xfId="2">
      <alignment vertical="center"/>
    </xf>
    <xf numFmtId="165" fontId="7" fillId="10" borderId="0" applyAlignment="1" pivotButton="0" quotePrefix="0" xfId="1">
      <alignment horizontal="center" vertical="center"/>
    </xf>
    <xf numFmtId="165" fontId="7" fillId="10" borderId="38" applyAlignment="1" pivotButton="0" quotePrefix="0" xfId="1">
      <alignment horizontal="center" vertical="center"/>
    </xf>
    <xf numFmtId="165" fontId="7" fillId="10" borderId="52" applyAlignment="1" pivotButton="0" quotePrefix="0" xfId="1">
      <alignment horizontal="center" vertical="center"/>
    </xf>
    <xf numFmtId="165" fontId="7" fillId="10" borderId="59" applyAlignment="1" pivotButton="0" quotePrefix="0" xfId="1">
      <alignment horizontal="center" vertical="center"/>
    </xf>
    <xf numFmtId="165" fontId="7" fillId="10" borderId="21" applyAlignment="1" pivotButton="0" quotePrefix="0" xfId="1">
      <alignment horizontal="center" vertical="center"/>
    </xf>
    <xf numFmtId="165" fontId="7" fillId="10" borderId="51" applyAlignment="1" pivotButton="0" quotePrefix="0" xfId="1">
      <alignment horizontal="center" vertical="center"/>
    </xf>
    <xf numFmtId="165" fontId="7" fillId="10" borderId="50" applyAlignment="1" pivotButton="0" quotePrefix="0" xfId="1">
      <alignment horizontal="center" vertical="center"/>
    </xf>
    <xf numFmtId="165" fontId="7" fillId="6" borderId="0" applyAlignment="1" pivotButton="0" quotePrefix="0" xfId="1">
      <alignment horizontal="center" vertical="center"/>
    </xf>
    <xf numFmtId="165" fontId="0" fillId="6" borderId="8" applyAlignment="1" pivotButton="0" quotePrefix="0" xfId="2">
      <alignment vertical="center"/>
    </xf>
    <xf numFmtId="165" fontId="0" fillId="6" borderId="8" applyAlignment="1" pivotButton="0" quotePrefix="0" xfId="2">
      <alignment horizontal="center" vertical="center"/>
    </xf>
    <xf numFmtId="165" fontId="10" fillId="6" borderId="8" applyAlignment="1" pivotButton="0" quotePrefix="0" xfId="2">
      <alignment vertical="center"/>
    </xf>
    <xf numFmtId="170" fontId="10" fillId="6" borderId="8" applyAlignment="1" pivotButton="0" quotePrefix="0" xfId="2">
      <alignment vertical="center"/>
    </xf>
    <xf numFmtId="165" fontId="0" fillId="6" borderId="0" applyAlignment="1" pivotButton="0" quotePrefix="0" xfId="2">
      <alignment vertical="center"/>
    </xf>
    <xf numFmtId="165" fontId="0" fillId="6" borderId="38" applyAlignment="1" pivotButton="0" quotePrefix="0" xfId="2">
      <alignment vertical="center"/>
    </xf>
    <xf numFmtId="165" fontId="10" fillId="6" borderId="59" applyAlignment="1" pivotButton="0" quotePrefix="0" xfId="2">
      <alignment vertical="center"/>
    </xf>
    <xf numFmtId="165" fontId="35" fillId="6" borderId="0" applyAlignment="1" pivotButton="0" quotePrefix="0" xfId="2">
      <alignment vertical="center"/>
    </xf>
    <xf numFmtId="165" fontId="35" fillId="6" borderId="59" applyAlignment="1" pivotButton="0" quotePrefix="0" xfId="2">
      <alignment vertical="center"/>
    </xf>
    <xf numFmtId="166" fontId="0" fillId="6" borderId="9" applyAlignment="1" pivotButton="0" quotePrefix="0" xfId="2">
      <alignment vertical="center"/>
    </xf>
    <xf numFmtId="165" fontId="10" fillId="6" borderId="8" applyAlignment="1" pivotButton="0" quotePrefix="0" xfId="1">
      <alignment horizontal="center" vertical="center"/>
    </xf>
    <xf numFmtId="164" fontId="0" fillId="6" borderId="8" applyAlignment="1" pivotButton="0" quotePrefix="0" xfId="2">
      <alignment vertical="center"/>
    </xf>
    <xf numFmtId="164" fontId="14" fillId="6" borderId="9" applyAlignment="1" pivotButton="0" quotePrefix="0" xfId="1">
      <alignment horizontal="center" vertical="center"/>
    </xf>
    <xf numFmtId="164" fontId="0" fillId="0" borderId="20" applyAlignment="1" pivotButton="0" quotePrefix="0" xfId="2">
      <alignment vertical="center"/>
    </xf>
    <xf numFmtId="165" fontId="7" fillId="6" borderId="18" applyAlignment="1" pivotButton="0" quotePrefix="0" xfId="1">
      <alignment horizontal="center" vertical="center"/>
    </xf>
    <xf numFmtId="165" fontId="0" fillId="6" borderId="20" applyAlignment="1" pivotButton="0" quotePrefix="0" xfId="2">
      <alignment vertical="center"/>
    </xf>
    <xf numFmtId="165" fontId="0" fillId="6" borderId="20" applyAlignment="1" pivotButton="0" quotePrefix="0" xfId="2">
      <alignment horizontal="center" vertical="center"/>
    </xf>
    <xf numFmtId="165" fontId="10" fillId="6" borderId="20" applyAlignment="1" pivotButton="0" quotePrefix="0" xfId="2">
      <alignment vertical="center"/>
    </xf>
    <xf numFmtId="170" fontId="10" fillId="6" borderId="20" applyAlignment="1" pivotButton="0" quotePrefix="0" xfId="2">
      <alignment vertical="center"/>
    </xf>
    <xf numFmtId="165" fontId="0" fillId="6" borderId="18" applyAlignment="1" pivotButton="0" quotePrefix="0" xfId="2">
      <alignment vertical="center"/>
    </xf>
    <xf numFmtId="165" fontId="0" fillId="6" borderId="21" applyAlignment="1" pivotButton="0" quotePrefix="0" xfId="2">
      <alignment vertical="center"/>
    </xf>
    <xf numFmtId="165" fontId="10" fillId="6" borderId="50" applyAlignment="1" pivotButton="0" quotePrefix="0" xfId="2">
      <alignment vertical="center"/>
    </xf>
    <xf numFmtId="165" fontId="35" fillId="6" borderId="18" applyAlignment="1" pivotButton="0" quotePrefix="0" xfId="2">
      <alignment vertical="center"/>
    </xf>
    <xf numFmtId="165" fontId="35" fillId="6" borderId="50" applyAlignment="1" pivotButton="0" quotePrefix="0" xfId="2">
      <alignment vertical="center"/>
    </xf>
    <xf numFmtId="166" fontId="0" fillId="6" borderId="17" applyAlignment="1" pivotButton="0" quotePrefix="0" xfId="2">
      <alignment vertical="center"/>
    </xf>
    <xf numFmtId="165" fontId="10" fillId="6" borderId="20" applyAlignment="1" pivotButton="0" quotePrefix="0" xfId="1">
      <alignment horizontal="center" vertical="center"/>
    </xf>
    <xf numFmtId="164" fontId="0" fillId="6" borderId="20" applyAlignment="1" pivotButton="0" quotePrefix="0" xfId="2">
      <alignment vertical="center"/>
    </xf>
    <xf numFmtId="164" fontId="14" fillId="6" borderId="17" applyAlignment="1" pivotButton="0" quotePrefix="0" xfId="1">
      <alignment horizontal="center" vertical="center"/>
    </xf>
    <xf numFmtId="165" fontId="7" fillId="10" borderId="1" applyAlignment="1" pivotButton="0" quotePrefix="0" xfId="1">
      <alignment horizontal="center" vertical="center"/>
    </xf>
    <xf numFmtId="165" fontId="0" fillId="10" borderId="12" applyAlignment="1" pivotButton="0" quotePrefix="0" xfId="2">
      <alignment vertical="center"/>
    </xf>
    <xf numFmtId="165" fontId="0" fillId="10" borderId="12" applyAlignment="1" pivotButton="0" quotePrefix="0" xfId="2">
      <alignment horizontal="center" vertical="center"/>
    </xf>
    <xf numFmtId="165" fontId="10" fillId="10" borderId="12" applyAlignment="1" pivotButton="0" quotePrefix="0" xfId="2">
      <alignment vertical="center"/>
    </xf>
    <xf numFmtId="170" fontId="10" fillId="10" borderId="12" applyAlignment="1" pivotButton="0" quotePrefix="0" xfId="2">
      <alignment vertical="center"/>
    </xf>
    <xf numFmtId="165" fontId="10" fillId="0" borderId="15" applyAlignment="1" pivotButton="0" quotePrefix="0" xfId="2">
      <alignment vertical="center"/>
    </xf>
    <xf numFmtId="165" fontId="35" fillId="13" borderId="1" applyAlignment="1" pivotButton="0" quotePrefix="0" xfId="2">
      <alignment vertical="center"/>
    </xf>
    <xf numFmtId="165" fontId="35" fillId="13" borderId="15" applyAlignment="1" pivotButton="0" quotePrefix="0" xfId="2">
      <alignment vertical="center"/>
    </xf>
    <xf numFmtId="166" fontId="0" fillId="0" borderId="13" applyAlignment="1" pivotButton="0" quotePrefix="0" xfId="2">
      <alignment vertical="center"/>
    </xf>
    <xf numFmtId="165" fontId="10" fillId="10" borderId="12" applyAlignment="1" pivotButton="0" quotePrefix="0" xfId="1">
      <alignment horizontal="center" vertical="center"/>
    </xf>
    <xf numFmtId="164" fontId="0" fillId="0" borderId="12" applyAlignment="1" pivotButton="0" quotePrefix="0" xfId="2">
      <alignment vertical="center"/>
    </xf>
    <xf numFmtId="167" fontId="20" fillId="0" borderId="0" applyAlignment="1" pivotButton="0" quotePrefix="0" xfId="1">
      <alignment vertical="center"/>
    </xf>
    <xf numFmtId="0" fontId="10" fillId="7" borderId="90" applyAlignment="1" pivotButton="0" quotePrefix="0" xfId="1">
      <alignment horizontal="center" vertical="center"/>
    </xf>
    <xf numFmtId="0" fontId="11" fillId="7" borderId="90" applyAlignment="1" pivotButton="0" quotePrefix="0" xfId="1">
      <alignment horizontal="center" vertical="center"/>
    </xf>
    <xf numFmtId="167" fontId="10" fillId="7" borderId="90" applyAlignment="1" pivotButton="0" quotePrefix="0" xfId="1">
      <alignment horizontal="center" vertical="center"/>
    </xf>
    <xf numFmtId="167" fontId="11" fillId="7" borderId="90" applyAlignment="1" pivotButton="0" quotePrefix="0" xfId="1">
      <alignment horizontal="center" vertical="center" wrapText="1"/>
    </xf>
    <xf numFmtId="167" fontId="11" fillId="7" borderId="90" applyAlignment="1" pivotButton="0" quotePrefix="0" xfId="1">
      <alignment horizontal="center" vertical="center"/>
    </xf>
    <xf numFmtId="0" fontId="10" fillId="7" borderId="91" applyAlignment="1" pivotButton="0" quotePrefix="0" xfId="1">
      <alignment horizontal="center" vertical="center"/>
    </xf>
    <xf numFmtId="0" fontId="27" fillId="7" borderId="91" applyAlignment="1" pivotButton="0" quotePrefix="0" xfId="1">
      <alignment horizontal="center" vertical="center"/>
    </xf>
    <xf numFmtId="0" fontId="0" fillId="0" borderId="9" pivotButton="0" quotePrefix="0" xfId="0"/>
    <xf numFmtId="167" fontId="19" fillId="10" borderId="66" applyAlignment="1" pivotButton="0" quotePrefix="0" xfId="2">
      <alignment horizontal="right" vertical="center"/>
    </xf>
    <xf numFmtId="167" fontId="19" fillId="10" borderId="40" applyAlignment="1" pivotButton="0" quotePrefix="0" xfId="1">
      <alignment horizontal="right" vertical="center"/>
    </xf>
    <xf numFmtId="167" fontId="46" fillId="10" borderId="40" applyAlignment="1" pivotButton="0" quotePrefix="0" xfId="1">
      <alignment horizontal="right" vertical="center"/>
    </xf>
    <xf numFmtId="167" fontId="10" fillId="10" borderId="40" applyAlignment="1" pivotButton="0" quotePrefix="0" xfId="1">
      <alignment horizontal="right" vertical="center"/>
    </xf>
    <xf numFmtId="167" fontId="46" fillId="10" borderId="49" applyAlignment="1" pivotButton="0" quotePrefix="0" xfId="1">
      <alignment vertical="center"/>
    </xf>
    <xf numFmtId="167" fontId="7" fillId="10" borderId="40" applyAlignment="1" pivotButton="0" quotePrefix="0" xfId="1">
      <alignment horizontal="right" vertical="center"/>
    </xf>
    <xf numFmtId="167" fontId="19" fillId="0" borderId="58" applyAlignment="1" pivotButton="0" quotePrefix="0" xfId="2">
      <alignment horizontal="right" vertical="center"/>
    </xf>
    <xf numFmtId="167" fontId="19" fillId="0" borderId="19" applyAlignment="1" pivotButton="0" quotePrefix="0" xfId="2">
      <alignment horizontal="right" vertical="center"/>
    </xf>
    <xf numFmtId="167" fontId="46" fillId="0" borderId="19" applyAlignment="1" pivotButton="0" quotePrefix="0" xfId="2">
      <alignment horizontal="right" vertical="center"/>
    </xf>
    <xf numFmtId="167" fontId="20" fillId="0" borderId="20" applyAlignment="1" pivotButton="0" quotePrefix="0" xfId="2">
      <alignment horizontal="right" vertical="center"/>
    </xf>
    <xf numFmtId="167" fontId="11" fillId="0" borderId="20" applyAlignment="1" pivotButton="0" quotePrefix="0" xfId="2">
      <alignment horizontal="right" vertical="center"/>
    </xf>
    <xf numFmtId="167" fontId="19" fillId="0" borderId="20" applyAlignment="1" pivotButton="0" quotePrefix="0" xfId="1">
      <alignment horizontal="right" vertical="center"/>
    </xf>
    <xf numFmtId="167" fontId="46" fillId="0" borderId="50" applyAlignment="1" pivotButton="0" quotePrefix="0" xfId="1">
      <alignment vertical="center"/>
    </xf>
    <xf numFmtId="167" fontId="19" fillId="10" borderId="20" applyAlignment="1" pivotButton="0" quotePrefix="0" xfId="1">
      <alignment horizontal="right" vertical="center"/>
    </xf>
    <xf numFmtId="167" fontId="19" fillId="10" borderId="58" applyAlignment="1" pivotButton="0" quotePrefix="0" xfId="2">
      <alignment horizontal="right" vertical="center"/>
    </xf>
    <xf numFmtId="167" fontId="19" fillId="10" borderId="19" applyAlignment="1" pivotButton="0" quotePrefix="0" xfId="2">
      <alignment horizontal="right" vertical="center"/>
    </xf>
    <xf numFmtId="167" fontId="46" fillId="10" borderId="19" applyAlignment="1" pivotButton="0" quotePrefix="0" xfId="2">
      <alignment horizontal="right" vertical="center"/>
    </xf>
    <xf numFmtId="167" fontId="20" fillId="10" borderId="20" applyAlignment="1" pivotButton="0" quotePrefix="0" xfId="2">
      <alignment horizontal="right" vertical="center"/>
    </xf>
    <xf numFmtId="167" fontId="11" fillId="10" borderId="20" applyAlignment="1" pivotButton="0" quotePrefix="0" xfId="2">
      <alignment horizontal="right" vertical="center"/>
    </xf>
    <xf numFmtId="167" fontId="46" fillId="10" borderId="50" applyAlignment="1" pivotButton="0" quotePrefix="0" xfId="1">
      <alignment vertical="center"/>
    </xf>
    <xf numFmtId="167" fontId="19" fillId="0" borderId="64" applyAlignment="1" pivotButton="0" quotePrefix="0" xfId="2">
      <alignment horizontal="right" vertical="center"/>
    </xf>
    <xf numFmtId="167" fontId="19" fillId="0" borderId="25" applyAlignment="1" pivotButton="0" quotePrefix="0" xfId="2">
      <alignment horizontal="right" vertical="center"/>
    </xf>
    <xf numFmtId="167" fontId="46" fillId="0" borderId="25" applyAlignment="1" pivotButton="0" quotePrefix="0" xfId="2">
      <alignment horizontal="right" vertical="center"/>
    </xf>
    <xf numFmtId="167" fontId="20" fillId="0" borderId="27" applyAlignment="1" pivotButton="0" quotePrefix="0" xfId="2">
      <alignment horizontal="right" vertical="center"/>
    </xf>
    <xf numFmtId="167" fontId="11" fillId="0" borderId="27" applyAlignment="1" pivotButton="0" quotePrefix="0" xfId="2">
      <alignment horizontal="right" vertical="center"/>
    </xf>
    <xf numFmtId="167" fontId="19" fillId="0" borderId="27" applyAlignment="1" pivotButton="0" quotePrefix="0" xfId="1">
      <alignment horizontal="right" vertical="center"/>
    </xf>
    <xf numFmtId="167" fontId="46" fillId="0" borderId="63" applyAlignment="1" pivotButton="0" quotePrefix="0" xfId="1">
      <alignment vertical="center"/>
    </xf>
    <xf numFmtId="167" fontId="19" fillId="0" borderId="5" applyAlignment="1" pivotButton="0" quotePrefix="0" xfId="2">
      <alignment horizontal="right" vertical="center"/>
    </xf>
    <xf numFmtId="167" fontId="19" fillId="0" borderId="2" applyAlignment="1" pivotButton="0" quotePrefix="0" xfId="2">
      <alignment horizontal="right" vertical="center"/>
    </xf>
    <xf numFmtId="167" fontId="46" fillId="0" borderId="2" applyAlignment="1" pivotButton="0" quotePrefix="0" xfId="2">
      <alignment horizontal="right" vertical="center"/>
    </xf>
    <xf numFmtId="167" fontId="20" fillId="0" borderId="3" applyAlignment="1" pivotButton="0" quotePrefix="0" xfId="2">
      <alignment horizontal="right" vertical="center"/>
    </xf>
    <xf numFmtId="167" fontId="11" fillId="0" borderId="3" applyAlignment="1" pivotButton="0" quotePrefix="0" xfId="2">
      <alignment horizontal="right" vertical="center"/>
    </xf>
    <xf numFmtId="167" fontId="19" fillId="0" borderId="40" applyAlignment="1" pivotButton="0" quotePrefix="0" xfId="1">
      <alignment horizontal="right" vertical="center"/>
    </xf>
    <xf numFmtId="167" fontId="19" fillId="0" borderId="3" applyAlignment="1" pivotButton="0" quotePrefix="0" xfId="1">
      <alignment horizontal="right" vertical="center"/>
    </xf>
    <xf numFmtId="167" fontId="46" fillId="10" borderId="46" applyAlignment="1" pivotButton="0" quotePrefix="0" xfId="1">
      <alignment vertical="center"/>
    </xf>
    <xf numFmtId="168" fontId="19" fillId="0" borderId="23" applyAlignment="1" pivotButton="0" quotePrefix="1" xfId="1">
      <alignment vertical="center"/>
    </xf>
    <xf numFmtId="167" fontId="19" fillId="10" borderId="64" applyAlignment="1" pivotButton="0" quotePrefix="0" xfId="2">
      <alignment horizontal="right" vertical="center"/>
    </xf>
    <xf numFmtId="167" fontId="19" fillId="10" borderId="25" applyAlignment="1" pivotButton="0" quotePrefix="0" xfId="2">
      <alignment horizontal="right" vertical="center"/>
    </xf>
    <xf numFmtId="167" fontId="46" fillId="10" borderId="25" applyAlignment="1" pivotButton="0" quotePrefix="0" xfId="2">
      <alignment horizontal="right" vertical="center"/>
    </xf>
    <xf numFmtId="167" fontId="20" fillId="10" borderId="27" applyAlignment="1" pivotButton="0" quotePrefix="0" xfId="2">
      <alignment horizontal="right" vertical="center"/>
    </xf>
    <xf numFmtId="167" fontId="11" fillId="10" borderId="27" applyAlignment="1" pivotButton="0" quotePrefix="0" xfId="2">
      <alignment horizontal="right" vertical="center"/>
    </xf>
    <xf numFmtId="167" fontId="19" fillId="10" borderId="27" applyAlignment="1" pivotButton="0" quotePrefix="0" xfId="1">
      <alignment horizontal="right" vertical="center"/>
    </xf>
    <xf numFmtId="167" fontId="46" fillId="10" borderId="63" applyAlignment="1" pivotButton="0" quotePrefix="0" xfId="1">
      <alignment vertical="center"/>
    </xf>
    <xf numFmtId="168" fontId="19" fillId="10" borderId="23" applyAlignment="1" pivotButton="0" quotePrefix="0" xfId="1">
      <alignment vertical="center"/>
    </xf>
    <xf numFmtId="167" fontId="19" fillId="10" borderId="85" applyAlignment="1" pivotButton="0" quotePrefix="0" xfId="2">
      <alignment horizontal="right" vertical="center"/>
    </xf>
    <xf numFmtId="167" fontId="19" fillId="10" borderId="2" applyAlignment="1" pivotButton="0" quotePrefix="0" xfId="2">
      <alignment horizontal="right" vertical="center"/>
    </xf>
    <xf numFmtId="167" fontId="46" fillId="10" borderId="2" applyAlignment="1" pivotButton="0" quotePrefix="0" xfId="2">
      <alignment horizontal="right" vertical="center"/>
    </xf>
    <xf numFmtId="167" fontId="20" fillId="10" borderId="3" applyAlignment="1" pivotButton="0" quotePrefix="0" xfId="2">
      <alignment horizontal="right" vertical="center"/>
    </xf>
    <xf numFmtId="167" fontId="11" fillId="10" borderId="3" applyAlignment="1" pivotButton="0" quotePrefix="0" xfId="2">
      <alignment horizontal="right" vertical="center"/>
    </xf>
    <xf numFmtId="167" fontId="19" fillId="10" borderId="3" applyAlignment="1" pivotButton="0" quotePrefix="0" xfId="1">
      <alignment horizontal="right" vertical="center"/>
    </xf>
    <xf numFmtId="167" fontId="46" fillId="10" borderId="86" applyAlignment="1" pivotButton="0" quotePrefix="0" xfId="1">
      <alignment vertical="center"/>
    </xf>
    <xf numFmtId="167" fontId="19" fillId="10" borderId="41" applyAlignment="1" pivotButton="0" quotePrefix="0" xfId="2">
      <alignment horizontal="right" vertical="center"/>
    </xf>
    <xf numFmtId="167" fontId="19" fillId="10" borderId="31" applyAlignment="1" pivotButton="0" quotePrefix="0" xfId="2">
      <alignment horizontal="right" vertical="center"/>
    </xf>
    <xf numFmtId="167" fontId="46" fillId="10" borderId="31" applyAlignment="1" pivotButton="0" quotePrefix="0" xfId="2">
      <alignment horizontal="right" vertical="center"/>
    </xf>
    <xf numFmtId="167" fontId="20" fillId="10" borderId="28" applyAlignment="1" pivotButton="0" quotePrefix="0" xfId="2">
      <alignment horizontal="right" vertical="center"/>
    </xf>
    <xf numFmtId="167" fontId="11" fillId="10" borderId="28" applyAlignment="1" pivotButton="0" quotePrefix="0" xfId="2">
      <alignment horizontal="right" vertical="center"/>
    </xf>
    <xf numFmtId="167" fontId="19" fillId="10" borderId="28" applyAlignment="1" pivotButton="0" quotePrefix="0" xfId="1">
      <alignment horizontal="right" vertical="center"/>
    </xf>
    <xf numFmtId="167" fontId="46" fillId="10" borderId="65" applyAlignment="1" pivotButton="0" quotePrefix="0" xfId="1">
      <alignment vertical="center"/>
    </xf>
    <xf numFmtId="167" fontId="19" fillId="0" borderId="28" applyAlignment="1" pivotButton="0" quotePrefix="0" xfId="1">
      <alignment horizontal="right" vertical="center"/>
    </xf>
    <xf numFmtId="167" fontId="19" fillId="10" borderId="18" applyAlignment="1" pivotButton="0" quotePrefix="0" xfId="2">
      <alignment horizontal="right" vertical="center"/>
    </xf>
    <xf numFmtId="167" fontId="19" fillId="10" borderId="24" applyAlignment="1" pivotButton="0" quotePrefix="0" xfId="2">
      <alignment horizontal="right" vertical="center"/>
    </xf>
    <xf numFmtId="167" fontId="19" fillId="10" borderId="82" applyAlignment="1" pivotButton="0" quotePrefix="0" xfId="2">
      <alignment horizontal="right" vertical="center"/>
    </xf>
    <xf numFmtId="167" fontId="19" fillId="10" borderId="39" applyAlignment="1" pivotButton="0" quotePrefix="0" xfId="2">
      <alignment horizontal="right" vertical="center"/>
    </xf>
    <xf numFmtId="167" fontId="46" fillId="10" borderId="39" applyAlignment="1" pivotButton="0" quotePrefix="0" xfId="2">
      <alignment horizontal="right" vertical="center"/>
    </xf>
    <xf numFmtId="167" fontId="20" fillId="10" borderId="40" applyAlignment="1" pivotButton="0" quotePrefix="0" xfId="2">
      <alignment horizontal="right" vertical="center"/>
    </xf>
    <xf numFmtId="167" fontId="11" fillId="10" borderId="40" applyAlignment="1" pivotButton="0" quotePrefix="0" xfId="2">
      <alignment horizontal="right" vertical="center"/>
    </xf>
    <xf numFmtId="167" fontId="19" fillId="10" borderId="16" applyAlignment="1" pivotButton="0" quotePrefix="0" xfId="2">
      <alignment horizontal="right" vertical="center"/>
    </xf>
    <xf numFmtId="167" fontId="19" fillId="10" borderId="11" applyAlignment="1" pivotButton="0" quotePrefix="0" xfId="2">
      <alignment horizontal="right" vertical="center"/>
    </xf>
    <xf numFmtId="167" fontId="46" fillId="10" borderId="11" applyAlignment="1" pivotButton="0" quotePrefix="0" xfId="2">
      <alignment horizontal="right" vertical="center"/>
    </xf>
    <xf numFmtId="167" fontId="20" fillId="10" borderId="12" applyAlignment="1" pivotButton="0" quotePrefix="0" xfId="2">
      <alignment horizontal="right" vertical="center"/>
    </xf>
    <xf numFmtId="167" fontId="11" fillId="10" borderId="12" applyAlignment="1" pivotButton="0" quotePrefix="0" xfId="2">
      <alignment horizontal="right" vertical="center"/>
    </xf>
    <xf numFmtId="167" fontId="19" fillId="10" borderId="12" applyAlignment="1" pivotButton="0" quotePrefix="0" xfId="1">
      <alignment horizontal="right" vertical="center"/>
    </xf>
    <xf numFmtId="167" fontId="46" fillId="10" borderId="15" applyAlignment="1" pivotButton="0" quotePrefix="0" xfId="1">
      <alignment vertical="center"/>
    </xf>
    <xf numFmtId="167" fontId="19" fillId="0" borderId="12" applyAlignment="1" pivotButton="0" quotePrefix="0" xfId="1">
      <alignment horizontal="right" vertical="center"/>
    </xf>
    <xf numFmtId="167" fontId="19" fillId="10" borderId="62" applyAlignment="1" pivotButton="0" quotePrefix="0" xfId="2">
      <alignment horizontal="right" vertical="center"/>
    </xf>
    <xf numFmtId="167" fontId="19" fillId="10" borderId="44" applyAlignment="1" pivotButton="0" quotePrefix="0" xfId="2">
      <alignment horizontal="right" vertical="center"/>
    </xf>
    <xf numFmtId="167" fontId="46" fillId="10" borderId="44" applyAlignment="1" pivotButton="0" quotePrefix="0" xfId="2">
      <alignment horizontal="right" vertical="center"/>
    </xf>
    <xf numFmtId="167" fontId="20" fillId="10" borderId="42" applyAlignment="1" pivotButton="0" quotePrefix="0" xfId="2">
      <alignment horizontal="right" vertical="center"/>
    </xf>
    <xf numFmtId="167" fontId="11" fillId="10" borderId="42" applyAlignment="1" pivotButton="0" quotePrefix="0" xfId="2">
      <alignment horizontal="right" vertical="center"/>
    </xf>
    <xf numFmtId="167" fontId="19" fillId="10" borderId="42" applyAlignment="1" pivotButton="0" quotePrefix="0" xfId="1">
      <alignment horizontal="right" vertical="center"/>
    </xf>
    <xf numFmtId="167" fontId="46" fillId="10" borderId="61" applyAlignment="1" pivotButton="0" quotePrefix="0" xfId="1">
      <alignment vertical="center"/>
    </xf>
    <xf numFmtId="167" fontId="19" fillId="10" borderId="60" applyAlignment="1" pivotButton="0" quotePrefix="0" xfId="2">
      <alignment horizontal="right" vertical="center"/>
    </xf>
    <xf numFmtId="167" fontId="19" fillId="10" borderId="7" applyAlignment="1" pivotButton="0" quotePrefix="0" xfId="2">
      <alignment horizontal="right" vertical="center"/>
    </xf>
    <xf numFmtId="167" fontId="46" fillId="10" borderId="7" applyAlignment="1" pivotButton="0" quotePrefix="0" xfId="2">
      <alignment horizontal="right" vertical="center"/>
    </xf>
    <xf numFmtId="167" fontId="20" fillId="10" borderId="8" applyAlignment="1" pivotButton="0" quotePrefix="0" xfId="2">
      <alignment horizontal="right" vertical="center"/>
    </xf>
    <xf numFmtId="167" fontId="11" fillId="10" borderId="8" applyAlignment="1" pivotButton="0" quotePrefix="0" xfId="2">
      <alignment horizontal="right" vertical="center"/>
    </xf>
    <xf numFmtId="167" fontId="19" fillId="10" borderId="8" applyAlignment="1" pivotButton="0" quotePrefix="0" xfId="1">
      <alignment horizontal="right" vertical="center"/>
    </xf>
    <xf numFmtId="167" fontId="46" fillId="10" borderId="59" applyAlignment="1" pivotButton="0" quotePrefix="0" xfId="1">
      <alignment vertical="center"/>
    </xf>
    <xf numFmtId="167" fontId="19" fillId="10" borderId="89" applyAlignment="1" pivotButton="0" quotePrefix="0" xfId="2">
      <alignment horizontal="right" vertical="center"/>
    </xf>
    <xf numFmtId="167" fontId="46" fillId="10" borderId="89" applyAlignment="1" pivotButton="0" quotePrefix="0" xfId="2">
      <alignment horizontal="right" vertical="center"/>
    </xf>
    <xf numFmtId="167" fontId="20" fillId="10" borderId="47" applyAlignment="1" pivotButton="0" quotePrefix="0" xfId="2">
      <alignment horizontal="right" vertical="center"/>
    </xf>
    <xf numFmtId="167" fontId="11" fillId="10" borderId="47" applyAlignment="1" pivotButton="0" quotePrefix="0" xfId="2">
      <alignment horizontal="right" vertical="center"/>
    </xf>
    <xf numFmtId="167" fontId="19" fillId="10" borderId="47" applyAlignment="1" pivotButton="0" quotePrefix="0" xfId="1">
      <alignment horizontal="right" vertical="center"/>
    </xf>
    <xf numFmtId="167" fontId="19" fillId="0" borderId="47" applyAlignment="1" pivotButton="0" quotePrefix="0" xfId="1">
      <alignment horizontal="right" vertical="center"/>
    </xf>
    <xf numFmtId="167" fontId="19" fillId="0" borderId="8" applyAlignment="1" pivotButton="0" quotePrefix="0" xfId="1">
      <alignment horizontal="right" vertical="center"/>
    </xf>
    <xf numFmtId="167" fontId="16" fillId="10" borderId="18" applyAlignment="1" pivotButton="0" quotePrefix="0" xfId="2">
      <alignment horizontal="right" vertical="center"/>
    </xf>
    <xf numFmtId="167" fontId="16" fillId="10" borderId="19" applyAlignment="1" pivotButton="0" quotePrefix="0" xfId="2">
      <alignment horizontal="right" vertical="center"/>
    </xf>
    <xf numFmtId="167" fontId="47" fillId="10" borderId="19" applyAlignment="1" pivotButton="0" quotePrefix="0" xfId="2">
      <alignment horizontal="right" vertical="center"/>
    </xf>
    <xf numFmtId="167" fontId="16" fillId="10" borderId="20" applyAlignment="1" pivotButton="0" quotePrefix="0" xfId="2">
      <alignment horizontal="right" vertical="center"/>
    </xf>
    <xf numFmtId="167" fontId="35" fillId="10" borderId="20" applyAlignment="1" pivotButton="0" quotePrefix="0" xfId="2">
      <alignment horizontal="right" vertical="center"/>
    </xf>
    <xf numFmtId="167" fontId="16" fillId="0" borderId="20" applyAlignment="1" pivotButton="0" quotePrefix="0" xfId="1">
      <alignment horizontal="right" vertical="center"/>
    </xf>
    <xf numFmtId="167" fontId="47" fillId="0" borderId="50" applyAlignment="1" pivotButton="0" quotePrefix="0" xfId="1">
      <alignment vertical="center"/>
    </xf>
    <xf numFmtId="167" fontId="19" fillId="0" borderId="18" applyAlignment="1" pivotButton="0" quotePrefix="0" xfId="2">
      <alignment horizontal="right" vertical="center"/>
    </xf>
    <xf numFmtId="167" fontId="19" fillId="0" borderId="24" applyAlignment="1" pivotButton="0" quotePrefix="0" xfId="2">
      <alignment horizontal="right" vertical="center"/>
    </xf>
    <xf numFmtId="167" fontId="19" fillId="0" borderId="30" applyAlignment="1" pivotButton="0" quotePrefix="0" xfId="2">
      <alignment horizontal="right" vertical="center"/>
    </xf>
    <xf numFmtId="167" fontId="20" fillId="0" borderId="28" applyAlignment="1" pivotButton="0" quotePrefix="0" xfId="2">
      <alignment horizontal="right" vertical="center"/>
    </xf>
    <xf numFmtId="167" fontId="11" fillId="0" borderId="28" applyAlignment="1" pivotButton="0" quotePrefix="0" xfId="2">
      <alignment horizontal="right" vertical="center"/>
    </xf>
    <xf numFmtId="167" fontId="46" fillId="0" borderId="65" applyAlignment="1" pivotButton="0" quotePrefix="0" xfId="1">
      <alignment vertical="center"/>
    </xf>
    <xf numFmtId="0" fontId="0" fillId="0" borderId="54" pivotButton="0" quotePrefix="0" xfId="0"/>
    <xf numFmtId="165" fontId="21" fillId="0" borderId="76" applyAlignment="1" pivotButton="0" quotePrefix="0" xfId="2">
      <alignment horizontal="center" vertical="center"/>
    </xf>
    <xf numFmtId="171" fontId="22" fillId="0" borderId="76" applyAlignment="1" pivotButton="0" quotePrefix="0" xfId="0">
      <alignment horizontal="right" vertical="center"/>
    </xf>
    <xf numFmtId="165" fontId="22" fillId="10" borderId="76" applyAlignment="1" pivotButton="0" quotePrefix="0" xfId="2">
      <alignment horizontal="right" vertical="center"/>
    </xf>
    <xf numFmtId="165" fontId="22" fillId="0" borderId="76" applyAlignment="1" pivotButton="0" quotePrefix="0" xfId="2">
      <alignment horizontal="right" vertical="center"/>
    </xf>
    <xf numFmtId="170" fontId="7" fillId="0" borderId="0" applyAlignment="1" pivotButton="0" quotePrefix="0" xfId="1">
      <alignment vertical="center"/>
    </xf>
    <xf numFmtId="165" fontId="45" fillId="10" borderId="76" applyAlignment="1" pivotButton="0" quotePrefix="0" xfId="2">
      <alignment vertical="center"/>
    </xf>
    <xf numFmtId="165" fontId="45" fillId="0" borderId="76" applyAlignment="1" pivotButton="0" quotePrefix="0" xfId="2">
      <alignment vertical="center"/>
    </xf>
    <xf numFmtId="165" fontId="45" fillId="0" borderId="77" applyAlignment="1" pivotButton="0" quotePrefix="0" xfId="2">
      <alignment vertical="center"/>
    </xf>
    <xf numFmtId="165" fontId="45" fillId="0" borderId="83" applyAlignment="1" pivotButton="0" quotePrefix="0" xfId="2">
      <alignment vertical="center"/>
    </xf>
  </cellXfs>
  <cellStyles count="6">
    <cellStyle name="표준" xfId="0" builtinId="0"/>
    <cellStyle name="표준 2" xfId="1"/>
    <cellStyle name="쉼표 [0] 2" xfId="2"/>
    <cellStyle name="백분율" xfId="3" builtinId="5"/>
    <cellStyle name="설명 텍스트" xfId="4" builtinId="53"/>
    <cellStyle name="메모" xfId="5" builtinId="1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53944;&#50952;&#49884;&#49828;&#53596;_2016/02%20&#50629;&#52404;%20&#44288;&#47532;/KT/201512%20KT&#47553;&#52964;&#49828;%20&#53685;&#54633;&#44288;&#47532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T서부"/>
      <sheetName val="견적서"/>
      <sheetName val="KT서부물류납품서"/>
      <sheetName val="트윈발주"/>
      <sheetName val="판촉발주"/>
      <sheetName val="KT_직매입코드"/>
      <sheetName val="거래처리스트"/>
      <sheetName val="KT진납(본사매출)"/>
      <sheetName val="KT진납(미납건)"/>
      <sheetName val="KT링커스(매출&amp;판촉)"/>
      <sheetName val="KT링커스(매입)"/>
      <sheetName val="코드등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갤럭시 S6 클리어커버</v>
          </cell>
        </row>
        <row r="3">
          <cell r="C3" t="str">
            <v>갤럭시 S6 클리어 뷰커버</v>
          </cell>
        </row>
        <row r="4">
          <cell r="C4" t="str">
            <v>갤럭시 노트5 클리어커버</v>
          </cell>
        </row>
        <row r="5">
          <cell r="C5" t="str">
            <v>갤럭시 노트5 클리어 뷰커버</v>
          </cell>
        </row>
        <row r="6">
          <cell r="C6" t="str">
            <v>KOKIRI 2500mAH 보조배터리</v>
          </cell>
        </row>
        <row r="7">
          <cell r="C7" t="str">
            <v>KOKIRI 2A 오토 5핀 차량용 충전기</v>
          </cell>
        </row>
        <row r="8">
          <cell r="C8" t="str">
            <v>KOKIRI 2A 파워플러스 5핀 충전기</v>
          </cell>
        </row>
        <row r="9">
          <cell r="C9" t="str">
            <v>KOKIRI 2A 파워플러스 8핀 충전기</v>
          </cell>
        </row>
        <row r="10">
          <cell r="C10" t="str">
            <v>KOKIRI 3A 오토 Dual USB 차량용 충전기</v>
          </cell>
        </row>
        <row r="11">
          <cell r="C11" t="str">
            <v>KOKIRI 2A 오토 울트라 차량용 충전기</v>
          </cell>
        </row>
        <row r="12">
          <cell r="C12" t="str">
            <v>KOKIRI 4000mAH 보조배터리</v>
          </cell>
        </row>
        <row r="13">
          <cell r="C13" t="str">
            <v>KOKIRI 5000mAH 보조배터리</v>
          </cell>
        </row>
        <row r="14">
          <cell r="C14" t="str">
            <v>KOKIRI 10000mAH 보조배터리</v>
          </cell>
        </row>
        <row r="15">
          <cell r="C15" t="str">
            <v>KOKIRI 2500mAH 보조배터리_판촉</v>
          </cell>
        </row>
        <row r="16">
          <cell r="C16" t="str">
            <v>KOKIRI 4000mAH 보조배터리_판촉</v>
          </cell>
        </row>
        <row r="17">
          <cell r="C17" t="str">
            <v>KOKIRI 5000mAH 보조배터리_판촉</v>
          </cell>
        </row>
        <row r="18">
          <cell r="C18" t="str">
            <v>KOKIRI 10000mAH 보조배터리_판촉</v>
          </cell>
        </row>
        <row r="19">
          <cell r="C19" t="str">
            <v>모비코디 1,2A 스피드 5핀 충전기</v>
          </cell>
        </row>
        <row r="20">
          <cell r="C20" t="str">
            <v>모비코디 1,2A 플러스 5핀 충전기</v>
          </cell>
        </row>
        <row r="21">
          <cell r="C21" t="str">
            <v>모비코디 2A Dual USB 충전기</v>
          </cell>
        </row>
        <row r="22">
          <cell r="C22" t="str">
            <v>KOKIRI 10000mAH 보조배터리</v>
          </cell>
        </row>
        <row r="23">
          <cell r="C23" t="str">
            <v>모비코디-퀵USB케이블 5핀 1M</v>
          </cell>
        </row>
        <row r="24">
          <cell r="C24" t="str">
            <v>모비코디-퀵USB케이블 5핀 1.5M</v>
          </cell>
        </row>
        <row r="25">
          <cell r="C25" t="str">
            <v xml:space="preserve">트윈-초미니 유선셀카봉 </v>
          </cell>
        </row>
        <row r="26">
          <cell r="C26" t="str">
            <v>오로라 모바일 Re:QM Q10</v>
          </cell>
        </row>
        <row r="27">
          <cell r="C27" t="str">
            <v>오로라 모바일 Re:QM Q10 (8핀젠더포함)</v>
          </cell>
        </row>
        <row r="28">
          <cell r="C28" t="str">
            <v>오로라 모바일 Re:QM Q2</v>
          </cell>
        </row>
        <row r="29">
          <cell r="C29" t="str">
            <v>오로라 모바일 Re:QM Q2 (8핀젠더포함)</v>
          </cell>
        </row>
        <row r="30">
          <cell r="C30" t="str">
            <v>오로라 모바일 Re:QM Q5</v>
          </cell>
        </row>
        <row r="31">
          <cell r="C31" t="str">
            <v>오로라 모바일 Re:QM Q5 (8핀젠더포함)</v>
          </cell>
        </row>
        <row r="32">
          <cell r="C32" t="str">
            <v>손난로 MS-283A 골드</v>
          </cell>
        </row>
        <row r="33">
          <cell r="C33" t="str">
            <v>손난로 MS-283A 블루</v>
          </cell>
        </row>
        <row r="34">
          <cell r="C34" t="str">
            <v>손난로 MS-283A 핑크</v>
          </cell>
        </row>
        <row r="35">
          <cell r="C35" t="str">
            <v xml:space="preserve">SMARTEK STBT-1100 블루투스 넥밴드 </v>
          </cell>
        </row>
        <row r="36">
          <cell r="C36" t="str">
            <v>알리오 BT-S1000 BT스피커</v>
          </cell>
        </row>
        <row r="37">
          <cell r="C37" t="str">
            <v xml:space="preserve">플래오맥스 BB-30 보조배터리겸용 BT스피커 </v>
          </cell>
        </row>
        <row r="38">
          <cell r="C38" t="str">
            <v xml:space="preserve">SMARTEK 알리오 BTS019 BT스피커 </v>
          </cell>
        </row>
        <row r="39">
          <cell r="C39" t="str">
            <v xml:space="preserve">브리츠 BT-3380 Rocky BT스피커 </v>
          </cell>
        </row>
        <row r="40">
          <cell r="C40" t="str">
            <v>브리츠 BA-G200 SOUNDPOT BT스피커</v>
          </cell>
        </row>
        <row r="41">
          <cell r="C41" t="str">
            <v>사조해표-안심특선27호</v>
          </cell>
        </row>
        <row r="42">
          <cell r="C42" t="str">
            <v>사조해표-안심특선60호</v>
          </cell>
        </row>
        <row r="43">
          <cell r="C43" t="str">
            <v>사조해표-안심특선23호</v>
          </cell>
        </row>
        <row r="44">
          <cell r="C44" t="str">
            <v>사조해표-고급유2호NEW</v>
          </cell>
        </row>
        <row r="45">
          <cell r="C45" t="str">
            <v>사조해표-참치9호</v>
          </cell>
        </row>
        <row r="46">
          <cell r="C46" t="str">
            <v>샤오미 10000mAh 보조배터리</v>
          </cell>
        </row>
        <row r="47">
          <cell r="C47" t="str">
            <v>샤오미 16000mAh 보조배터리</v>
          </cell>
        </row>
        <row r="48">
          <cell r="C48" t="str">
            <v>샤오미 5000mAh 보조배터리</v>
          </cell>
        </row>
        <row r="49">
          <cell r="C49" t="str">
            <v>샤오미 LED 라이트</v>
          </cell>
        </row>
        <row r="50">
          <cell r="C50" t="str">
            <v>샤오미 USB 미니 선풍기</v>
          </cell>
        </row>
        <row r="51">
          <cell r="C51" t="str">
            <v>샤오미 가죽케이스 (10000mAh 전용)</v>
          </cell>
        </row>
        <row r="52">
          <cell r="C52" t="str">
            <v>샤오미 가죽케이스 (16000mAh 전용)</v>
          </cell>
        </row>
        <row r="53">
          <cell r="C53" t="str">
            <v>샤오미 가죽케이스 (5000mAh 전용)</v>
          </cell>
        </row>
        <row r="54">
          <cell r="C54" t="str">
            <v>샤오미 미밴드</v>
          </cell>
        </row>
        <row r="55">
          <cell r="C55" t="str">
            <v>샤오미 실리콘 젤리케이스 (10000mAh 전용)</v>
          </cell>
        </row>
        <row r="56">
          <cell r="C56" t="str">
            <v>샤오미 실리콘 젤리케이스 (16000mAh 전용)</v>
          </cell>
        </row>
        <row r="57">
          <cell r="C57" t="str">
            <v>샤오미 실리콘 젤리케이스 (5000mAh 전용)</v>
          </cell>
        </row>
        <row r="58">
          <cell r="C58" t="str">
            <v>템플러 1.2A 5핀 일체형충전기</v>
          </cell>
        </row>
        <row r="59">
          <cell r="C59" t="str">
            <v>템플러 1.2A 8핀 일체형충전기</v>
          </cell>
        </row>
        <row r="60">
          <cell r="C60" t="str">
            <v>템플러 1.5A 5핀 일체형 차량용충전기</v>
          </cell>
        </row>
        <row r="61">
          <cell r="C61" t="str">
            <v>템플러 1.5A 5핀 일체형충전기</v>
          </cell>
        </row>
        <row r="62">
          <cell r="C62" t="str">
            <v>템플러 1.5A 8핀 일체형 차량용충전기</v>
          </cell>
        </row>
        <row r="63">
          <cell r="C63" t="str">
            <v>템플러 2.1A 5핀 일체형충전기</v>
          </cell>
        </row>
        <row r="64">
          <cell r="C64" t="str">
            <v>템플러 2.1A 8핀 일체형충전기</v>
          </cell>
        </row>
        <row r="65">
          <cell r="C65" t="str">
            <v>템플러 2.4A 5핀 일체형 차량용충전기</v>
          </cell>
        </row>
        <row r="66">
          <cell r="C66" t="str">
            <v>템플러 3.1A 5핀 USB 차량용충전기</v>
          </cell>
        </row>
        <row r="67">
          <cell r="C67" t="str">
            <v>템플러 3.1A 8핀 USB 차량용충전기</v>
          </cell>
        </row>
        <row r="68">
          <cell r="C68" t="str">
            <v>템플러 9V 5핀 USB 충전기</v>
          </cell>
        </row>
        <row r="69">
          <cell r="C69" t="str">
            <v>템플러 LED 5핀 데이터케이블</v>
          </cell>
        </row>
        <row r="70">
          <cell r="C70" t="str">
            <v>템플러 LED 8핀 데이터케이블</v>
          </cell>
        </row>
        <row r="71">
          <cell r="C71" t="str">
            <v xml:space="preserve">템플러 갤럭시노트4 배터리킷 </v>
          </cell>
        </row>
        <row r="72">
          <cell r="C72" t="str">
            <v xml:space="preserve">템플러 갤럭시노트4 엣지 배터리킷 </v>
          </cell>
        </row>
        <row r="73">
          <cell r="C73" t="str">
            <v>템플러 라이트닝 8핀 데이터케이블</v>
          </cell>
        </row>
        <row r="74">
          <cell r="C74" t="str">
            <v>템플러 마이크로 5핀 데이터케이블</v>
          </cell>
        </row>
        <row r="75">
          <cell r="C75" t="str">
            <v>템플러 무선 충전패드 WCP100</v>
          </cell>
        </row>
        <row r="76">
          <cell r="C76" t="str">
            <v>템플러 무선 충전패드 WCP1-100</v>
          </cell>
        </row>
        <row r="77">
          <cell r="C77" t="str">
            <v>템플러 무선 충전패드 WCP2-100</v>
          </cell>
        </row>
        <row r="78">
          <cell r="C78" t="str">
            <v>템플러 통합20핀 일체형충전기</v>
          </cell>
        </row>
        <row r="79">
          <cell r="C79" t="str">
            <v>템플러 가정용 USB 2PORT(2.1A)</v>
          </cell>
        </row>
        <row r="80">
          <cell r="C80" t="str">
            <v>템플러 가정용 USB 2PORT(2.1A)+5핀케이블</v>
          </cell>
        </row>
        <row r="81">
          <cell r="C81" t="str">
            <v>템플러 가정용 USB 2PORT(2.1A)+8핀케이블</v>
          </cell>
        </row>
        <row r="82">
          <cell r="C82" t="str">
            <v>템플러-3.1A 차량용충전기_2포트_C타입케이블</v>
          </cell>
        </row>
        <row r="83">
          <cell r="C83" t="str">
            <v>템플러-3.1A 차량용충전기_2포트</v>
          </cell>
        </row>
        <row r="84">
          <cell r="C84" t="str">
            <v>템플러-2.1A 듀얼충전기_C타입케이블</v>
          </cell>
        </row>
        <row r="85">
          <cell r="C85" t="str">
            <v>XSP-300 (리모콘 미포함)</v>
          </cell>
        </row>
        <row r="86">
          <cell r="C86" t="str">
            <v>XSP-300 (리모콘 포함)</v>
          </cell>
        </row>
        <row r="87">
          <cell r="C87" t="str">
            <v>셀피스틱 Selfie KIT-S4</v>
          </cell>
        </row>
        <row r="88">
          <cell r="C88" t="str">
            <v>인쇄비</v>
          </cell>
        </row>
        <row r="89">
          <cell r="C89" t="str">
            <v>포장</v>
          </cell>
        </row>
        <row r="90">
          <cell r="C90" t="str">
            <v>물류비</v>
          </cell>
        </row>
        <row r="91">
          <cell r="C91" t="str">
            <v>클로리스 A1 8000mAh 보조배터리</v>
          </cell>
        </row>
        <row r="92">
          <cell r="C92" t="str">
            <v>클로리스 A2 8000mAh 보조배터리</v>
          </cell>
        </row>
        <row r="93">
          <cell r="C93" t="str">
            <v>LG모바일 LM-01 이어셋</v>
          </cell>
        </row>
        <row r="94">
          <cell r="C94" t="str">
            <v>LG모바일 LM-02 이어셋</v>
          </cell>
        </row>
        <row r="95">
          <cell r="C95" t="str">
            <v>LG모바일 LM-03 이어셋</v>
          </cell>
        </row>
        <row r="96">
          <cell r="C96" t="str">
            <v>TSUM TS-711S 이어셋</v>
          </cell>
        </row>
        <row r="97">
          <cell r="C97" t="str">
            <v>TSUM TS-715S 이어셋</v>
          </cell>
        </row>
        <row r="98">
          <cell r="C98" t="str">
            <v>아남 AN-506S 이어셋</v>
          </cell>
        </row>
        <row r="99">
          <cell r="C99" t="str">
            <v>청정원-나눔2호</v>
          </cell>
        </row>
        <row r="100">
          <cell r="C100" t="str">
            <v>청정원-나눔6호</v>
          </cell>
        </row>
        <row r="101">
          <cell r="C101" t="str">
            <v>MiFree 스마트워치 m2</v>
          </cell>
        </row>
        <row r="102">
          <cell r="C102" t="str">
            <v>템플러-C타입일체형충전기 1.5A</v>
          </cell>
        </row>
        <row r="103">
          <cell r="C103" t="str">
            <v>템플러-C타입케이블</v>
          </cell>
        </row>
        <row r="104">
          <cell r="C104" t="str">
            <v>템플러-메탈보조배터리4000mAH</v>
          </cell>
        </row>
        <row r="105">
          <cell r="C105" t="str">
            <v>템플러-엣지보조배터리5000mAH</v>
          </cell>
        </row>
        <row r="106">
          <cell r="C106" t="str">
            <v>카카오프렌즈 5핀케이블</v>
          </cell>
        </row>
        <row r="107">
          <cell r="C107" t="str">
            <v>카카오프렌즈 8핀케이블</v>
          </cell>
        </row>
        <row r="108">
          <cell r="C108" t="str">
            <v>카카오프렌즈 클리어투명젤리</v>
          </cell>
        </row>
        <row r="109">
          <cell r="C109" t="str">
            <v>카카오프렌즈 클리어투명젤리 아이폰6</v>
          </cell>
        </row>
        <row r="110">
          <cell r="C110" t="str">
            <v>카카오프렌즈 클리어투명젤리 아이폰6P</v>
          </cell>
        </row>
        <row r="111">
          <cell r="C111" t="str">
            <v>카카오프렌즈 클리어투명젤리 노트5</v>
          </cell>
        </row>
        <row r="112">
          <cell r="C112" t="str">
            <v>카카오프렌즈 클리어투명젤리 갤럭시S6</v>
          </cell>
        </row>
        <row r="113">
          <cell r="C113" t="str">
            <v>카카오프렌즈 하드케이스</v>
          </cell>
        </row>
        <row r="114">
          <cell r="C114" t="str">
            <v>카카오프렌즈 하드케이스 아이폰6</v>
          </cell>
        </row>
        <row r="115">
          <cell r="C115" t="str">
            <v>카카오프렌즈 하드케이스 아이폰6P</v>
          </cell>
        </row>
        <row r="116">
          <cell r="C116" t="str">
            <v>카카오프렌즈 하드케이스 노트5</v>
          </cell>
        </row>
        <row r="117">
          <cell r="C117" t="str">
            <v>카카오프렌즈 하드케이스 갤럭시S6</v>
          </cell>
        </row>
        <row r="118">
          <cell r="C118" t="str">
            <v>LINE FRIENDS 브라운 
2.1A 가정용 아답터</v>
          </cell>
        </row>
        <row r="119">
          <cell r="C119" t="str">
            <v>LINE FRIENDS 샐리 
2.1A 가정용 아답터</v>
          </cell>
        </row>
        <row r="120">
          <cell r="C120" t="str">
            <v>LINE FRIENDS 브라운/샐리 2.1A 가정용 아답터 SET</v>
          </cell>
        </row>
        <row r="121">
          <cell r="C121" t="str">
            <v>LINE FRIENDS 브라운 8핀 케이블
 (피규어 분리형)</v>
          </cell>
        </row>
        <row r="122">
          <cell r="C122" t="str">
            <v>LINE FRIENDS 샐리 8핀 케이블
 (피규어 분리형)</v>
          </cell>
        </row>
        <row r="123">
          <cell r="C123" t="str">
            <v>LINE FRIENDS 브라운 8핀 케이블
 (피규어 일체형)</v>
          </cell>
        </row>
        <row r="124">
          <cell r="C124" t="str">
            <v>LINE FRIENDS 샐리 8핀 케이블
 (피규어 일체형)</v>
          </cell>
        </row>
        <row r="125">
          <cell r="C125" t="str">
            <v>LINE FRIENDS 브라운/샐리 8핀 케이블 SET  (피규어 일체형)</v>
          </cell>
        </row>
        <row r="126">
          <cell r="C126" t="str">
            <v>LINE FRIENDS 브라운 5핀 케이블
 (피규어 일체형)</v>
          </cell>
        </row>
        <row r="127">
          <cell r="C127" t="str">
            <v>LINE FRIENDS 샐리 5핀 케이블
 (피규어 일체형)</v>
          </cell>
        </row>
        <row r="128">
          <cell r="C128" t="str">
            <v>LINE FRIENDS 브라운/샐리 5핀 케이블 SET (피규어 일체형)</v>
          </cell>
        </row>
        <row r="129">
          <cell r="C129" t="str">
            <v>LINE FRIENDS 브라운 무선충전기</v>
          </cell>
        </row>
        <row r="130">
          <cell r="C130" t="str">
            <v>LINE FRIENDS 샐리 무선충전기</v>
          </cell>
        </row>
        <row r="131">
          <cell r="C131" t="str">
            <v>카카오프렌즈 무지 콤보 케이스</v>
          </cell>
        </row>
        <row r="132">
          <cell r="C132" t="str">
            <v>카카오프렌즈 어피치 콤보 케이스</v>
          </cell>
        </row>
        <row r="133">
          <cell r="C133" t="str">
            <v>카카오프렌즈 튜브 콤보 케이스</v>
          </cell>
        </row>
        <row r="134">
          <cell r="C134" t="str">
            <v>카카오프렌즈 프로도 콤보 케이스</v>
          </cell>
        </row>
        <row r="135">
          <cell r="C135" t="str">
            <v>카카오프렌즈 네오 콤보 케이스</v>
          </cell>
        </row>
        <row r="136">
          <cell r="C136" t="str">
            <v>카카오프렌즈 제이지 콤보 케이스</v>
          </cell>
        </row>
        <row r="137">
          <cell r="C137" t="str">
            <v>카카오프렌즈 콤보 케이스 SET 아이폰6</v>
          </cell>
        </row>
        <row r="138">
          <cell r="C138" t="str">
            <v>카카오프렌즈 콤보 케이스 SET 갤럭시S7</v>
          </cell>
        </row>
        <row r="139">
          <cell r="C139" t="str">
            <v>카카오프렌즈 무지 클리어투명젤리</v>
          </cell>
        </row>
        <row r="140">
          <cell r="C140" t="str">
            <v>카카오프렌즈 어피치 클리어투명젤리</v>
          </cell>
        </row>
        <row r="141">
          <cell r="C141" t="str">
            <v>카카오프렌즈 튜브 클리어투명젤리</v>
          </cell>
        </row>
        <row r="142">
          <cell r="C142" t="str">
            <v>카카오프렌즈 프로도 클리어투명젤리</v>
          </cell>
        </row>
        <row r="143">
          <cell r="C143" t="str">
            <v>카카오프렌즈 네오 클리어투명젤리</v>
          </cell>
        </row>
        <row r="144">
          <cell r="C144" t="str">
            <v>카카오프렌즈 제이지 클리어투명젤리</v>
          </cell>
        </row>
        <row r="145">
          <cell r="C145" t="str">
            <v>카카오프렌즈 클리어투명젤리 SET 아이폰6</v>
          </cell>
        </row>
        <row r="146">
          <cell r="C146" t="str">
            <v>카카오프렌즈 클리어투명젤리 SET 갤럭시S7</v>
          </cell>
        </row>
        <row r="147">
          <cell r="C147" t="str">
            <v>카카오프렌즈 무지 열전사 하드케이스</v>
          </cell>
        </row>
        <row r="148">
          <cell r="C148" t="str">
            <v>카카오프렌즈 어피치 열전사 하드케이스</v>
          </cell>
        </row>
        <row r="149">
          <cell r="C149" t="str">
            <v>카카오프렌즈 튜브 열전사 하드케이스</v>
          </cell>
        </row>
        <row r="150">
          <cell r="C150" t="str">
            <v>카카오프렌즈 프로도 열전사 하드케이스</v>
          </cell>
        </row>
        <row r="151">
          <cell r="C151" t="str">
            <v>카카오프렌즈 네오 열전사 하드케이스</v>
          </cell>
        </row>
        <row r="152">
          <cell r="C152" t="str">
            <v>카카오프렌즈 제이지 열전사 하드케이스</v>
          </cell>
        </row>
        <row r="153">
          <cell r="C153" t="str">
            <v>카카오프렌즈 열전사 하드케이스 SET 아이폰6</v>
          </cell>
        </row>
        <row r="154">
          <cell r="C154" t="str">
            <v>카카오프렌즈 열전사 하드케이스 SET 갤럭시S7</v>
          </cell>
        </row>
        <row r="155">
          <cell r="C155" t="str">
            <v>카카오프렌즈 무지 수전사 불투명 젤리케이스</v>
          </cell>
        </row>
        <row r="156">
          <cell r="C156" t="str">
            <v>카카오프렌즈 어피치 수전사 불투명 젤리케이스</v>
          </cell>
        </row>
        <row r="157">
          <cell r="C157" t="str">
            <v>카카오프렌즈 튜브 수전사 불투명 젤리케이스</v>
          </cell>
        </row>
        <row r="158">
          <cell r="C158" t="str">
            <v>카카오프렌즈 프로도 수전사 불투명 젤리케이스</v>
          </cell>
        </row>
        <row r="159">
          <cell r="C159" t="str">
            <v>카카오프렌즈 네오 수전사 불투명 젤리케이스</v>
          </cell>
        </row>
        <row r="160">
          <cell r="C160" t="str">
            <v>카카오프렌즈 제이지 수전사 불투명 젤리케이스</v>
          </cell>
        </row>
        <row r="161">
          <cell r="C161" t="str">
            <v>카카오프렌즈 무지 5핀 3D USB 케이블</v>
          </cell>
        </row>
        <row r="162">
          <cell r="C162" t="str">
            <v>카카오프렌즈 어피치 5핀 3D USB 케이블</v>
          </cell>
        </row>
        <row r="163">
          <cell r="C163" t="str">
            <v>카카오프렌즈 튜브 5핀 3D USB 케이블</v>
          </cell>
        </row>
        <row r="164">
          <cell r="C164" t="str">
            <v>카카오프렌즈 프로도 5핀 3D USB 케이블</v>
          </cell>
        </row>
        <row r="165">
          <cell r="C165" t="str">
            <v>카카오프렌즈 네오 5핀 3D USB 케이블</v>
          </cell>
        </row>
        <row r="166">
          <cell r="C166" t="str">
            <v>카카오프렌즈 제이지 5핀 3D USB 케이블</v>
          </cell>
        </row>
        <row r="167">
          <cell r="C167" t="str">
            <v>카카오프렌즈 5핀 3D USB 케이블 SET</v>
          </cell>
        </row>
        <row r="168">
          <cell r="C168" t="str">
            <v>카카오프렌즈 무지 8핀 3D USB 케이블</v>
          </cell>
        </row>
        <row r="169">
          <cell r="C169" t="str">
            <v>카카오프렌즈 어피치 8핀 3D USB 케이블</v>
          </cell>
        </row>
        <row r="170">
          <cell r="C170" t="str">
            <v>카카오프렌즈 튜브 8핀 3D USB 케이블</v>
          </cell>
        </row>
        <row r="171">
          <cell r="C171" t="str">
            <v>카카오프렌즈 프로도 8핀 3D USB 케이블</v>
          </cell>
        </row>
        <row r="172">
          <cell r="C172" t="str">
            <v>카카오프렌즈 네오 8핀 3D USB 케이블</v>
          </cell>
        </row>
        <row r="173">
          <cell r="C173" t="str">
            <v>카카오프렌즈 제이지 8핀 3D USB 케이블</v>
          </cell>
        </row>
        <row r="174">
          <cell r="C174" t="str">
            <v>카카오프렌즈 8핀 3D USB 케이블 SET</v>
          </cell>
        </row>
        <row r="175">
          <cell r="C175" t="str">
            <v>MiFree 스마트워치 H1</v>
          </cell>
        </row>
        <row r="176">
          <cell r="C176" t="str">
            <v>KOKIRI 2500mAH 보조배터리 (2)</v>
          </cell>
        </row>
        <row r="177">
          <cell r="C177" t="str">
            <v>KOKIRI 4000mAH 보조배터리 (2)</v>
          </cell>
        </row>
        <row r="178">
          <cell r="C178" t="str">
            <v>KOKIRI 4000mAH 보조배터리 블랙에디션(2)</v>
          </cell>
        </row>
        <row r="179">
          <cell r="C179" t="str">
            <v>KOKIRI 옴니 4000mAH 보조배터리(2)</v>
          </cell>
        </row>
        <row r="180">
          <cell r="C180" t="str">
            <v>KOKIRI 5000mAH 보조배터리(2)</v>
          </cell>
        </row>
        <row r="181">
          <cell r="C181" t="str">
            <v>KOKIRI 5000mAH 보조배터리 블랙에디션 (2)</v>
          </cell>
        </row>
        <row r="182">
          <cell r="C182" t="str">
            <v>KOKIRI 옴니 5000mAH 보조배터리 (2)</v>
          </cell>
        </row>
        <row r="183">
          <cell r="C183" t="str">
            <v>KOKIRI 8000mAH 보조배터리 (2)</v>
          </cell>
        </row>
        <row r="184">
          <cell r="C184" t="str">
            <v>KOKIRI 옴니 8000mAH 보조배터리 (2)</v>
          </cell>
        </row>
        <row r="185">
          <cell r="C185" t="str">
            <v>KOKIRI 10000mAH 보조배터리 (2)</v>
          </cell>
        </row>
        <row r="186">
          <cell r="C186" t="str">
            <v>KOKIRI 옴니 10000mAH 보조배터리 (2)</v>
          </cell>
        </row>
        <row r="187">
          <cell r="C187" t="str">
            <v>ANYWHEEL-스마트밸런스전동휠 AW1</v>
          </cell>
        </row>
        <row r="188">
          <cell r="C188" t="str">
            <v>MIFREE 스마트워치 Z1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169"/>
  <sheetViews>
    <sheetView showGridLines="0" zoomScale="80" zoomScaleNormal="80" workbookViewId="0">
      <pane ySplit="4" topLeftCell="A5" activePane="bottomLeft" state="frozen"/>
      <selection pane="bottomLeft" activeCell="F8" sqref="F8"/>
    </sheetView>
  </sheetViews>
  <sheetFormatPr baseColWidth="8" defaultColWidth="9" defaultRowHeight="16.5"/>
  <cols>
    <col width="3.625" customWidth="1" style="717" min="1" max="1"/>
    <col width="15.625" bestFit="1" customWidth="1" style="717" min="2" max="2"/>
    <col width="27.375" customWidth="1" style="106" min="3" max="3"/>
    <col width="52.125" customWidth="1" style="717" min="4" max="4"/>
    <col width="8.625" customWidth="1" style="16" min="5" max="5"/>
    <col width="10.625" customWidth="1" style="717" min="6" max="6"/>
    <col width="10.625" customWidth="1" style="16" min="7" max="7"/>
    <col width="10.625" customWidth="1" style="717" min="8" max="9"/>
    <col width="13.875" customWidth="1" style="717" min="10" max="10"/>
    <col hidden="1" width="12" customWidth="1" style="334" min="11" max="11"/>
    <col width="10.625" customWidth="1" style="742" min="12" max="16"/>
    <col width="11.625" customWidth="1" style="742" min="17" max="17"/>
    <col hidden="1" width="11.625" customWidth="1" style="742" min="18" max="19"/>
    <col width="10.625" customWidth="1" style="717" min="20" max="21"/>
    <col width="10.625" customWidth="1" style="742" min="22" max="23"/>
    <col width="10.625" customWidth="1" style="717" min="24" max="30"/>
    <col width="10.625" customWidth="1" style="105" min="31" max="31"/>
    <col width="21.625" customWidth="1" style="743" min="32" max="32"/>
    <col width="21.875" customWidth="1" style="717" min="33" max="33"/>
    <col width="9" customWidth="1" style="717" min="34" max="16384"/>
  </cols>
  <sheetData>
    <row r="1" ht="30.75" customHeight="1" s="744">
      <c r="B1" s="660" t="inlineStr">
        <is>
          <t>재고현황</t>
        </is>
      </c>
      <c r="D1" s="659" t="n"/>
      <c r="E1" s="659" t="n"/>
      <c r="F1" s="659" t="n"/>
      <c r="G1" s="659" t="n"/>
      <c r="I1" s="517" t="n"/>
      <c r="J1" s="517" t="inlineStr">
        <is>
          <t>주식회사 바스맨테크놀러지</t>
        </is>
      </c>
      <c r="K1" s="518" t="inlineStr">
        <is>
          <t>주식회사 리큐엠</t>
        </is>
      </c>
      <c r="L1" s="112" t="n">
        <v>2026</v>
      </c>
      <c r="M1" s="112" t="n">
        <v>2026</v>
      </c>
      <c r="N1" s="112" t="n">
        <v>2026</v>
      </c>
      <c r="O1" s="112" t="n">
        <v>2026</v>
      </c>
      <c r="P1" s="112" t="n">
        <v>2026</v>
      </c>
      <c r="Q1" s="659" t="n"/>
      <c r="R1" s="112" t="n">
        <v>2026</v>
      </c>
      <c r="S1" s="659" t="n"/>
      <c r="T1" s="659" t="n"/>
      <c r="U1" s="659" t="n"/>
      <c r="V1" s="659" t="n"/>
      <c r="W1" s="659" t="n"/>
      <c r="X1" s="659" t="n"/>
      <c r="Y1" s="659" t="n"/>
      <c r="Z1" s="659" t="n"/>
      <c r="AA1" s="659" t="n"/>
      <c r="AB1" s="659" t="n"/>
      <c r="AC1" s="659" t="n"/>
      <c r="AD1" s="659" t="n"/>
      <c r="AE1" s="659" t="n"/>
    </row>
    <row r="2" ht="30.75" customHeight="1" s="744" thickBot="1">
      <c r="B2" s="745" t="n"/>
      <c r="C2" s="745" t="n"/>
      <c r="D2" s="659" t="n"/>
      <c r="E2" s="659" t="n"/>
      <c r="F2" s="659" t="n"/>
      <c r="G2" s="659" t="n"/>
      <c r="I2" s="517" t="n"/>
      <c r="J2" s="517" t="inlineStr">
        <is>
          <t>주식회사 리큐엠케이브</t>
        </is>
      </c>
      <c r="K2" s="518" t="inlineStr">
        <is>
          <t>주식회사 이모아이</t>
        </is>
      </c>
      <c r="L2" s="112" t="n">
        <v>4</v>
      </c>
      <c r="M2" s="112" t="n">
        <v>5</v>
      </c>
      <c r="N2" s="112" t="n">
        <v>6</v>
      </c>
      <c r="O2" s="112" t="n">
        <v>7</v>
      </c>
      <c r="P2" s="112" t="n">
        <v>8</v>
      </c>
      <c r="Q2" s="659" t="n"/>
      <c r="R2" s="112" t="inlineStr">
        <is>
          <t>30w</t>
        </is>
      </c>
      <c r="S2" s="659" t="n"/>
      <c r="T2" s="659" t="n"/>
      <c r="U2" s="659" t="n"/>
      <c r="V2" s="659" t="n"/>
      <c r="W2" s="659" t="n"/>
      <c r="X2" s="659" t="n"/>
      <c r="Y2" s="659" t="n"/>
      <c r="Z2" s="659" t="n"/>
      <c r="AA2" s="659" t="n"/>
      <c r="AB2" s="659" t="n"/>
      <c r="AC2" s="659" t="n"/>
      <c r="AD2" s="659" t="n"/>
      <c r="AE2" s="659" t="n"/>
    </row>
    <row r="3" ht="20.1" customHeight="1" s="744" thickBot="1">
      <c r="B3" s="746" t="inlineStr">
        <is>
          <t>구분</t>
        </is>
      </c>
      <c r="C3" s="747" t="inlineStr">
        <is>
          <t>품목코드</t>
        </is>
      </c>
      <c r="D3" s="748" t="inlineStr">
        <is>
          <t>품목명</t>
        </is>
      </c>
      <c r="E3" s="749" t="inlineStr">
        <is>
          <t>pcs/박스</t>
        </is>
      </c>
      <c r="F3" s="746" t="inlineStr">
        <is>
          <t>본사재고</t>
        </is>
      </c>
      <c r="G3" s="750" t="inlineStr">
        <is>
          <t>위킵재고</t>
        </is>
      </c>
      <c r="H3" s="747" t="inlineStr">
        <is>
          <t>재고총계</t>
        </is>
      </c>
      <c r="I3" s="747" t="inlineStr">
        <is>
          <t>단가(+V)</t>
        </is>
      </c>
      <c r="J3" s="747" t="inlineStr">
        <is>
          <t>재고총액</t>
        </is>
      </c>
      <c r="K3" s="751" t="inlineStr">
        <is>
          <t>악성재고율</t>
        </is>
      </c>
      <c r="L3" s="89" t="inlineStr">
        <is>
          <t>최근5개월판매수량</t>
        </is>
      </c>
      <c r="M3" s="752" t="n"/>
      <c r="N3" s="752" t="n"/>
      <c r="O3" s="752" t="n"/>
      <c r="P3" s="752" t="n"/>
      <c r="Q3" s="753" t="n"/>
      <c r="R3" s="89" t="inlineStr">
        <is>
          <t>주차별판매수량</t>
        </is>
      </c>
      <c r="S3" s="753" t="n"/>
      <c r="T3" s="658" t="inlineStr">
        <is>
          <t>적정재고</t>
        </is>
      </c>
      <c r="U3" s="754" t="n"/>
      <c r="V3" s="755" t="n"/>
      <c r="W3" s="13" t="n"/>
      <c r="X3" s="658" t="inlineStr">
        <is>
          <t>발주현황</t>
        </is>
      </c>
      <c r="Y3" s="754" t="n"/>
      <c r="Z3" s="754" t="n"/>
      <c r="AA3" s="754" t="n"/>
      <c r="AB3" s="754" t="n"/>
      <c r="AC3" s="754" t="n"/>
      <c r="AD3" s="754" t="n"/>
      <c r="AE3" s="755" t="n"/>
      <c r="AF3" s="14" t="n"/>
    </row>
    <row r="4" ht="45.75" customFormat="1" customHeight="1" s="695" thickBot="1">
      <c r="B4" s="756" t="n"/>
      <c r="C4" s="757" t="n"/>
      <c r="D4" s="758" t="n"/>
      <c r="E4" s="758" t="n"/>
      <c r="F4" s="756" t="n"/>
      <c r="G4" s="757" t="n"/>
      <c r="H4" s="757" t="n"/>
      <c r="I4" s="757" t="n"/>
      <c r="J4" s="757" t="n"/>
      <c r="K4" s="757" t="n"/>
      <c r="L4" s="759">
        <f>L2</f>
        <v/>
      </c>
      <c r="M4" s="760">
        <f>M2</f>
        <v/>
      </c>
      <c r="N4" s="760">
        <f>N2</f>
        <v/>
      </c>
      <c r="O4" s="760">
        <f>O2</f>
        <v/>
      </c>
      <c r="P4" s="760">
        <f>P2</f>
        <v/>
      </c>
      <c r="Q4" s="761" t="inlineStr">
        <is>
          <t>평균
(당월제외)</t>
        </is>
      </c>
      <c r="R4" s="762" t="inlineStr">
        <is>
          <t>주간
판매수량</t>
        </is>
      </c>
      <c r="S4" s="761" t="inlineStr">
        <is>
          <t>일 평균
 판매수량</t>
        </is>
      </c>
      <c r="T4" s="661" t="inlineStr">
        <is>
          <t>재고율</t>
        </is>
      </c>
      <c r="U4" s="89" t="inlineStr">
        <is>
          <t>적정재고</t>
        </is>
      </c>
      <c r="V4" s="763" t="inlineStr">
        <is>
          <t>과부족</t>
        </is>
      </c>
      <c r="W4" s="764" t="inlineStr">
        <is>
          <t>발주합</t>
        </is>
      </c>
      <c r="X4" s="89" t="inlineStr">
        <is>
          <t>발주수량</t>
        </is>
      </c>
      <c r="Y4" s="752" t="n"/>
      <c r="Z4" s="752" t="n"/>
      <c r="AA4" s="753" t="n"/>
      <c r="AB4" s="663" t="inlineStr">
        <is>
          <t>발주일자</t>
        </is>
      </c>
      <c r="AC4" s="754" t="n"/>
      <c r="AD4" s="754" t="n"/>
      <c r="AE4" s="755" t="n"/>
      <c r="AF4" s="765" t="inlineStr">
        <is>
          <t>적정재고/수량(발주포함)</t>
        </is>
      </c>
    </row>
    <row r="5" ht="20.1" customHeight="1" s="744">
      <c r="B5" s="644" t="inlineStr">
        <is>
          <t>무선충전기</t>
        </is>
      </c>
      <c r="C5" s="186" t="inlineStr">
        <is>
          <t>QWC-Q1500GR</t>
        </is>
      </c>
      <c r="D5" s="299" t="inlineStr">
        <is>
          <t>[리큐엠] QWC-Q1500 무선충전기 그레이</t>
        </is>
      </c>
      <c r="E5" s="766" t="n">
        <v>50</v>
      </c>
      <c r="F5" s="767" t="n"/>
      <c r="G5" s="768" t="n"/>
      <c r="H5" s="769" t="n"/>
      <c r="I5" s="770" t="n"/>
      <c r="J5" s="770" t="n"/>
      <c r="K5" s="190" t="n"/>
      <c r="L5" s="771" t="n"/>
      <c r="M5" s="772" t="n"/>
      <c r="N5" s="772" t="n"/>
      <c r="O5" s="772" t="n"/>
      <c r="P5" s="772" t="n"/>
      <c r="Q5" s="773" t="n"/>
      <c r="R5" s="774" t="n"/>
      <c r="S5" s="775" t="n"/>
      <c r="T5" s="776" t="n"/>
      <c r="U5" s="777" t="n"/>
      <c r="V5" s="778" t="n"/>
      <c r="W5" s="779" t="n"/>
      <c r="X5" s="780" t="n"/>
      <c r="Y5" s="781" t="n"/>
      <c r="Z5" s="781" t="n"/>
      <c r="AA5" s="782" t="n"/>
      <c r="AB5" s="780" t="n"/>
      <c r="AC5" s="781" t="n"/>
      <c r="AD5" s="781" t="n"/>
      <c r="AE5" s="782" t="n"/>
      <c r="AF5" s="783" t="n"/>
      <c r="AG5" s="784" t="n"/>
    </row>
    <row r="6" ht="20.1" customHeight="1" s="744">
      <c r="B6" s="785" t="n"/>
      <c r="C6" s="43" t="inlineStr">
        <is>
          <t>QWC-Q1500WH</t>
        </is>
      </c>
      <c r="D6" s="43" t="inlineStr">
        <is>
          <t>[리큐엠] QWC-Q1500 무선충전기 화이트</t>
        </is>
      </c>
      <c r="E6" s="786" t="n">
        <v>50</v>
      </c>
      <c r="F6" s="787" t="n"/>
      <c r="G6" s="788" t="n"/>
      <c r="H6" s="789" t="n"/>
      <c r="I6" s="790" t="n"/>
      <c r="J6" s="790" t="n"/>
      <c r="K6" s="171" t="n"/>
      <c r="L6" s="791" t="n"/>
      <c r="M6" s="792" t="n"/>
      <c r="N6" s="792" t="n"/>
      <c r="O6" s="792" t="n"/>
      <c r="P6" s="792" t="n"/>
      <c r="Q6" s="793" t="n"/>
      <c r="R6" s="794" t="n"/>
      <c r="S6" s="795" t="n"/>
      <c r="T6" s="796" t="n"/>
      <c r="U6" s="797" t="n"/>
      <c r="V6" s="798" t="n"/>
      <c r="W6" s="799" t="n"/>
      <c r="X6" s="800" t="n"/>
      <c r="Y6" s="801" t="n"/>
      <c r="Z6" s="801" t="n"/>
      <c r="AA6" s="802" t="n"/>
      <c r="AB6" s="552" t="n"/>
      <c r="AC6" s="553" t="n"/>
      <c r="AD6" s="553" t="n"/>
      <c r="AE6" s="31" t="n"/>
      <c r="AF6" s="803" t="n"/>
      <c r="AG6" s="784" t="n"/>
    </row>
    <row r="7" ht="20.1" customHeight="1" s="744">
      <c r="B7" s="785" t="n"/>
      <c r="C7" s="43" t="inlineStr">
        <is>
          <t>QWC-Q1500-GR-PM</t>
        </is>
      </c>
      <c r="D7" s="43" t="inlineStr">
        <is>
          <t>[리큐엠] QWC-Q1500 무선충전기 그레이-판촉용</t>
        </is>
      </c>
      <c r="E7" s="786" t="n">
        <v>50</v>
      </c>
      <c r="F7" s="787" t="n"/>
      <c r="G7" s="788" t="n"/>
      <c r="H7" s="789" t="n"/>
      <c r="I7" s="790" t="n"/>
      <c r="J7" s="790" t="n"/>
      <c r="K7" s="171" t="n"/>
      <c r="L7" s="791" t="n"/>
      <c r="M7" s="792" t="n"/>
      <c r="N7" s="792" t="n"/>
      <c r="O7" s="792" t="n"/>
      <c r="P7" s="792" t="n"/>
      <c r="Q7" s="793" t="n"/>
      <c r="R7" s="794" t="n"/>
      <c r="S7" s="795" t="n"/>
      <c r="T7" s="796" t="n"/>
      <c r="U7" s="797" t="n"/>
      <c r="V7" s="798" t="n"/>
      <c r="W7" s="799" t="n"/>
      <c r="X7" s="800" t="n"/>
      <c r="Y7" s="801" t="n"/>
      <c r="Z7" s="801" t="n"/>
      <c r="AA7" s="802" t="n"/>
      <c r="AB7" s="574" t="n"/>
      <c r="AC7" s="553" t="n"/>
      <c r="AD7" s="553" t="n"/>
      <c r="AE7" s="31" t="n"/>
      <c r="AF7" s="803" t="n"/>
      <c r="AG7" s="784" t="n"/>
    </row>
    <row r="8" ht="20.1" customHeight="1" s="744">
      <c r="B8" s="785" t="n"/>
      <c r="C8" s="43" t="inlineStr">
        <is>
          <t>QWC-Q1500-WH-PM</t>
        </is>
      </c>
      <c r="D8" s="43" t="inlineStr">
        <is>
          <t>[리큐엠] QWC-Q1500 무선충전기 화이트-판촉용</t>
        </is>
      </c>
      <c r="E8" s="786" t="n">
        <v>50</v>
      </c>
      <c r="F8" s="787" t="n"/>
      <c r="G8" s="788" t="n"/>
      <c r="H8" s="789" t="n"/>
      <c r="I8" s="790" t="n"/>
      <c r="J8" s="790" t="n"/>
      <c r="K8" s="171" t="n"/>
      <c r="L8" s="791" t="n"/>
      <c r="M8" s="792" t="n"/>
      <c r="N8" s="792" t="n"/>
      <c r="O8" s="792" t="n"/>
      <c r="P8" s="792" t="n"/>
      <c r="Q8" s="793" t="n"/>
      <c r="R8" s="794" t="n"/>
      <c r="S8" s="795" t="n"/>
      <c r="T8" s="796" t="n"/>
      <c r="U8" s="797" t="n"/>
      <c r="V8" s="798" t="n"/>
      <c r="W8" s="799" t="n"/>
      <c r="X8" s="800" t="n"/>
      <c r="Y8" s="801" t="n"/>
      <c r="Z8" s="801" t="n"/>
      <c r="AA8" s="802" t="n"/>
      <c r="AB8" s="574" t="n"/>
      <c r="AC8" s="553" t="n"/>
      <c r="AD8" s="553" t="n"/>
      <c r="AE8" s="31" t="n"/>
      <c r="AF8" s="803" t="n"/>
      <c r="AG8" s="784" t="n"/>
    </row>
    <row r="9" ht="20.1" customHeight="1" s="744">
      <c r="B9" s="785" t="n"/>
      <c r="C9" s="43" t="inlineStr">
        <is>
          <t>QWC-QS1500-BL</t>
        </is>
      </c>
      <c r="D9" s="43" t="inlineStr">
        <is>
          <t>[리큐엠] 무선충전기 QWC-QS1500 블루</t>
        </is>
      </c>
      <c r="E9" s="786" t="n">
        <v>50</v>
      </c>
      <c r="F9" s="787" t="n"/>
      <c r="G9" s="788" t="n"/>
      <c r="H9" s="789" t="n"/>
      <c r="I9" s="790" t="n"/>
      <c r="J9" s="790" t="n"/>
      <c r="K9" s="171" t="n"/>
      <c r="L9" s="791" t="n"/>
      <c r="M9" s="792" t="n"/>
      <c r="N9" s="792" t="n"/>
      <c r="O9" s="792" t="n"/>
      <c r="P9" s="792" t="n"/>
      <c r="Q9" s="793" t="n"/>
      <c r="R9" s="794" t="n"/>
      <c r="S9" s="795" t="n"/>
      <c r="T9" s="796" t="n"/>
      <c r="U9" s="797" t="n"/>
      <c r="V9" s="798" t="n"/>
      <c r="W9" s="799" t="n"/>
      <c r="X9" s="804" t="n"/>
      <c r="Y9" s="805" t="n"/>
      <c r="Z9" s="805" t="n"/>
      <c r="AA9" s="806" t="n"/>
      <c r="AB9" s="807" t="n"/>
      <c r="AC9" s="805" t="n"/>
      <c r="AD9" s="805" t="n"/>
      <c r="AE9" s="39" t="n"/>
      <c r="AF9" s="803" t="n"/>
    </row>
    <row r="10" ht="20.1" customHeight="1" s="744">
      <c r="B10" s="785" t="n"/>
      <c r="C10" s="43" t="inlineStr">
        <is>
          <t>QWC-QS1500-PK</t>
        </is>
      </c>
      <c r="D10" s="43" t="inlineStr">
        <is>
          <t>[리큐엠] 무선충전기 QWC-QS1500 핑크</t>
        </is>
      </c>
      <c r="E10" s="786" t="n">
        <v>50</v>
      </c>
      <c r="F10" s="787" t="n"/>
      <c r="G10" s="788" t="n"/>
      <c r="H10" s="789" t="n"/>
      <c r="I10" s="790" t="n"/>
      <c r="J10" s="790" t="n"/>
      <c r="K10" s="171" t="n"/>
      <c r="L10" s="791" t="n"/>
      <c r="M10" s="792" t="n"/>
      <c r="N10" s="792" t="n"/>
      <c r="O10" s="792" t="n"/>
      <c r="P10" s="792" t="n"/>
      <c r="Q10" s="793" t="n"/>
      <c r="R10" s="794" t="n"/>
      <c r="S10" s="795" t="n"/>
      <c r="T10" s="796" t="n"/>
      <c r="U10" s="797" t="n"/>
      <c r="V10" s="798" t="n"/>
      <c r="W10" s="799" t="n"/>
      <c r="X10" s="804" t="n"/>
      <c r="Y10" s="805" t="n"/>
      <c r="Z10" s="805" t="n"/>
      <c r="AA10" s="806" t="n"/>
      <c r="AB10" s="807" t="n"/>
      <c r="AC10" s="805" t="n"/>
      <c r="AD10" s="805" t="n"/>
      <c r="AE10" s="39" t="n"/>
      <c r="AF10" s="803" t="n"/>
    </row>
    <row r="11" ht="20.1" customHeight="1" s="744">
      <c r="B11" s="785" t="n"/>
      <c r="C11" s="43" t="inlineStr">
        <is>
          <t>QWC-QS1500-GR</t>
        </is>
      </c>
      <c r="D11" s="43" t="inlineStr">
        <is>
          <t>[리큐엠] 무선충전기 QWC-QS1500 그린</t>
        </is>
      </c>
      <c r="E11" s="786" t="n">
        <v>50</v>
      </c>
      <c r="F11" s="787" t="n"/>
      <c r="G11" s="788" t="n"/>
      <c r="H11" s="789" t="n"/>
      <c r="I11" s="790" t="n"/>
      <c r="J11" s="790" t="n"/>
      <c r="K11" s="171" t="n"/>
      <c r="L11" s="791" t="n"/>
      <c r="M11" s="792" t="n"/>
      <c r="N11" s="792" t="n"/>
      <c r="O11" s="792" t="n"/>
      <c r="P11" s="792" t="n"/>
      <c r="Q11" s="793" t="n"/>
      <c r="R11" s="794" t="n"/>
      <c r="S11" s="795" t="n"/>
      <c r="T11" s="796" t="n"/>
      <c r="U11" s="797" t="n"/>
      <c r="V11" s="798" t="n"/>
      <c r="W11" s="799" t="n"/>
      <c r="X11" s="804" t="n"/>
      <c r="Y11" s="805" t="n"/>
      <c r="Z11" s="805" t="n"/>
      <c r="AA11" s="806" t="n"/>
      <c r="AB11" s="807" t="n"/>
      <c r="AC11" s="805" t="n"/>
      <c r="AD11" s="805" t="n"/>
      <c r="AE11" s="39" t="n"/>
      <c r="AF11" s="803" t="n"/>
    </row>
    <row r="12" ht="20.1" customHeight="1" s="744">
      <c r="B12" s="785" t="n"/>
      <c r="C12" s="43" t="inlineStr">
        <is>
          <t>SET-SOMEONE-PINK</t>
        </is>
      </c>
      <c r="D12" s="43" t="inlineStr">
        <is>
          <t>SOMEONE 무선충전세트 - 핑크</t>
        </is>
      </c>
      <c r="E12" s="786" t="n">
        <v>16</v>
      </c>
      <c r="F12" s="787" t="n"/>
      <c r="G12" s="788" t="n"/>
      <c r="H12" s="789" t="n"/>
      <c r="I12" s="790" t="n"/>
      <c r="J12" s="790" t="n"/>
      <c r="K12" s="171" t="n"/>
      <c r="L12" s="791" t="n"/>
      <c r="M12" s="792" t="n"/>
      <c r="N12" s="792" t="n"/>
      <c r="O12" s="792" t="n"/>
      <c r="P12" s="792" t="n"/>
      <c r="Q12" s="793" t="n"/>
      <c r="R12" s="794" t="n"/>
      <c r="S12" s="795" t="n"/>
      <c r="T12" s="796" t="n"/>
      <c r="U12" s="797" t="n"/>
      <c r="V12" s="798" t="n"/>
      <c r="W12" s="799" t="n"/>
      <c r="X12" s="804" t="n"/>
      <c r="Y12" s="805" t="n"/>
      <c r="Z12" s="805" t="n"/>
      <c r="AA12" s="806" t="n"/>
      <c r="AB12" s="807" t="n"/>
      <c r="AC12" s="805" t="n"/>
      <c r="AD12" s="805" t="n"/>
      <c r="AE12" s="39" t="n"/>
      <c r="AF12" s="803" t="n"/>
    </row>
    <row r="13" ht="20.1" customHeight="1" s="744">
      <c r="B13" s="785" t="n"/>
      <c r="C13" s="43" t="inlineStr">
        <is>
          <t>SOMEONE-BLUE</t>
        </is>
      </c>
      <c r="D13" s="43" t="inlineStr">
        <is>
          <t>SOMEONE -블루(DIFUNG)</t>
        </is>
      </c>
      <c r="E13" s="786" t="n">
        <v>20</v>
      </c>
      <c r="F13" s="787" t="n"/>
      <c r="G13" s="788" t="n"/>
      <c r="H13" s="789" t="n"/>
      <c r="I13" s="790" t="n"/>
      <c r="J13" s="790" t="n"/>
      <c r="K13" s="171" t="n"/>
      <c r="L13" s="791" t="n"/>
      <c r="M13" s="792" t="n"/>
      <c r="N13" s="792" t="n"/>
      <c r="O13" s="792" t="n"/>
      <c r="P13" s="792" t="n"/>
      <c r="Q13" s="793" t="n"/>
      <c r="R13" s="794" t="n"/>
      <c r="S13" s="795" t="n"/>
      <c r="T13" s="796" t="n"/>
      <c r="U13" s="797" t="n"/>
      <c r="V13" s="798" t="n"/>
      <c r="W13" s="799" t="n"/>
      <c r="X13" s="804" t="n"/>
      <c r="Y13" s="805" t="n"/>
      <c r="Z13" s="805" t="n"/>
      <c r="AA13" s="806" t="n"/>
      <c r="AB13" s="807" t="n"/>
      <c r="AC13" s="805" t="n"/>
      <c r="AD13" s="805" t="n"/>
      <c r="AE13" s="39" t="n"/>
      <c r="AF13" s="803" t="n"/>
    </row>
    <row r="14" ht="20.1" customHeight="1" s="744">
      <c r="B14" s="785" t="n"/>
      <c r="C14" s="43" t="inlineStr">
        <is>
          <t>QWC-Q3100S-BK</t>
        </is>
      </c>
      <c r="D14" s="43" t="inlineStr">
        <is>
          <t>[리큐엠] 3in1 무선충전기 Q3100S 블랙 [갤럭시워치]</t>
        </is>
      </c>
      <c r="E14" s="786" t="n">
        <v>50</v>
      </c>
      <c r="F14" s="787" t="n"/>
      <c r="G14" s="788" t="n"/>
      <c r="H14" s="789" t="n"/>
      <c r="I14" s="790" t="n"/>
      <c r="J14" s="790" t="n"/>
      <c r="K14" s="171" t="n"/>
      <c r="L14" s="808" t="n"/>
      <c r="M14" s="792" t="n"/>
      <c r="N14" s="792" t="n"/>
      <c r="O14" s="792" t="n"/>
      <c r="P14" s="792" t="n"/>
      <c r="Q14" s="793" t="n"/>
      <c r="R14" s="809" t="n"/>
      <c r="S14" s="795" t="n"/>
      <c r="T14" s="796" t="n"/>
      <c r="U14" s="797" t="n"/>
      <c r="V14" s="798" t="n"/>
      <c r="W14" s="799" t="n"/>
      <c r="X14" s="800" t="n"/>
      <c r="Y14" s="801" t="n"/>
      <c r="Z14" s="801" t="n"/>
      <c r="AA14" s="802" t="n"/>
      <c r="AB14" s="810" t="n"/>
      <c r="AC14" s="801" t="n"/>
      <c r="AD14" s="801" t="n"/>
      <c r="AE14" s="31" t="n"/>
      <c r="AF14" s="811" t="n"/>
      <c r="AK14" s="42" t="n"/>
    </row>
    <row r="15" ht="20.1" customHeight="1" s="744">
      <c r="B15" s="785" t="n"/>
      <c r="C15" s="43" t="inlineStr">
        <is>
          <t>QWC-Q3100S-WH</t>
        </is>
      </c>
      <c r="D15" s="43" t="inlineStr">
        <is>
          <t>[리큐엠] 3in1 무선충전기 Q3100S(갤럭시) 화이트</t>
        </is>
      </c>
      <c r="E15" s="786" t="n">
        <v>50</v>
      </c>
      <c r="F15" s="787" t="n"/>
      <c r="G15" s="788" t="n"/>
      <c r="H15" s="789" t="n"/>
      <c r="I15" s="790" t="n"/>
      <c r="J15" s="790" t="n"/>
      <c r="K15" s="171" t="n"/>
      <c r="L15" s="791" t="n"/>
      <c r="M15" s="792" t="n"/>
      <c r="N15" s="792" t="n"/>
      <c r="O15" s="792" t="n"/>
      <c r="P15" s="792" t="n"/>
      <c r="Q15" s="793" t="n"/>
      <c r="R15" s="794" t="n"/>
      <c r="S15" s="795" t="n"/>
      <c r="T15" s="796" t="n"/>
      <c r="U15" s="797" t="n"/>
      <c r="V15" s="798" t="n"/>
      <c r="W15" s="799" t="n"/>
      <c r="X15" s="800" t="n"/>
      <c r="Y15" s="801" t="n"/>
      <c r="Z15" s="801" t="n"/>
      <c r="AA15" s="802" t="n"/>
      <c r="AB15" s="810" t="n"/>
      <c r="AC15" s="801" t="n"/>
      <c r="AD15" s="801" t="n"/>
      <c r="AE15" s="31" t="n"/>
      <c r="AF15" s="803" t="n"/>
      <c r="AK15" s="42" t="n"/>
    </row>
    <row r="16" ht="20.1" customHeight="1" s="744">
      <c r="B16" s="785" t="n"/>
      <c r="C16" s="43" t="inlineStr">
        <is>
          <t>QWC-Q3100S-BK_PM</t>
        </is>
      </c>
      <c r="D16" s="43" t="inlineStr">
        <is>
          <t>[리큐엠] 3in1 무선충전기 Q3100S(갤럭시) 블랙-판촉용</t>
        </is>
      </c>
      <c r="E16" s="786" t="n">
        <v>50</v>
      </c>
      <c r="F16" s="787" t="n"/>
      <c r="G16" s="788" t="n"/>
      <c r="H16" s="789" t="n"/>
      <c r="I16" s="790" t="n"/>
      <c r="J16" s="790" t="n"/>
      <c r="K16" s="171" t="n"/>
      <c r="L16" s="791" t="n"/>
      <c r="M16" s="792" t="n"/>
      <c r="N16" s="792" t="n"/>
      <c r="O16" s="792" t="n"/>
      <c r="P16" s="792" t="n"/>
      <c r="Q16" s="793" t="n"/>
      <c r="R16" s="794" t="n"/>
      <c r="S16" s="795" t="n"/>
      <c r="T16" s="796" t="n"/>
      <c r="U16" s="797" t="n"/>
      <c r="V16" s="798" t="n"/>
      <c r="W16" s="799" t="n"/>
      <c r="X16" s="804" t="n"/>
      <c r="Y16" s="805" t="n"/>
      <c r="Z16" s="805" t="n"/>
      <c r="AA16" s="806" t="n"/>
      <c r="AB16" s="807" t="n"/>
      <c r="AC16" s="805" t="n"/>
      <c r="AD16" s="805" t="n"/>
      <c r="AE16" s="39" t="n"/>
      <c r="AF16" s="803" t="n"/>
      <c r="AK16" s="42" t="n"/>
    </row>
    <row r="17" ht="20.1" customHeight="1" s="744">
      <c r="B17" s="785" t="n"/>
      <c r="C17" s="43" t="inlineStr">
        <is>
          <t>QMC-QM4100_GY</t>
        </is>
      </c>
      <c r="D17" s="43" t="inlineStr">
        <is>
          <t>리큐엠 맥세이프 충전기-QM4100_그레이</t>
        </is>
      </c>
      <c r="E17" s="786" t="n">
        <v>9</v>
      </c>
      <c r="F17" s="787" t="n"/>
      <c r="G17" s="788" t="n"/>
      <c r="H17" s="789" t="n"/>
      <c r="I17" s="812" t="n"/>
      <c r="J17" s="790" t="n"/>
      <c r="K17" s="171" t="n"/>
      <c r="L17" s="791" t="n"/>
      <c r="M17" s="792" t="n"/>
      <c r="N17" s="792" t="n"/>
      <c r="O17" s="792" t="n"/>
      <c r="P17" s="792" t="n"/>
      <c r="Q17" s="793" t="n"/>
      <c r="R17" s="794" t="n"/>
      <c r="S17" s="795" t="n"/>
      <c r="T17" s="796" t="n"/>
      <c r="U17" s="813" t="n"/>
      <c r="V17" s="798" t="n"/>
      <c r="W17" s="799" t="n"/>
      <c r="X17" s="800" t="n"/>
      <c r="Y17" s="801" t="n"/>
      <c r="Z17" s="801" t="n"/>
      <c r="AA17" s="802" t="n"/>
      <c r="AB17" s="810" t="n"/>
      <c r="AC17" s="801" t="n"/>
      <c r="AD17" s="801" t="n"/>
      <c r="AE17" s="31" t="n"/>
      <c r="AF17" s="803" t="n"/>
      <c r="AK17" s="42" t="n"/>
    </row>
    <row r="18" ht="20.1" customHeight="1" s="744">
      <c r="A18" s="814" t="n"/>
      <c r="B18" s="785" t="n"/>
      <c r="C18" s="43" t="inlineStr">
        <is>
          <t>QMC-QM4100_WH</t>
        </is>
      </c>
      <c r="D18" s="43" t="inlineStr">
        <is>
          <t>리큐엠 맥세이프 충전기-QM4100_화이트</t>
        </is>
      </c>
      <c r="E18" s="786" t="n">
        <v>9</v>
      </c>
      <c r="F18" s="787" t="n"/>
      <c r="G18" s="788" t="n"/>
      <c r="H18" s="789" t="n"/>
      <c r="I18" s="790" t="n"/>
      <c r="J18" s="790" t="n"/>
      <c r="K18" s="171" t="n"/>
      <c r="L18" s="791" t="n"/>
      <c r="M18" s="792" t="n"/>
      <c r="N18" s="792" t="n"/>
      <c r="O18" s="792" t="n"/>
      <c r="P18" s="792" t="n"/>
      <c r="Q18" s="793" t="n"/>
      <c r="R18" s="794" t="n"/>
      <c r="S18" s="795" t="n"/>
      <c r="T18" s="796" t="n"/>
      <c r="U18" s="813" t="n"/>
      <c r="V18" s="798" t="n"/>
      <c r="W18" s="799" t="n"/>
      <c r="X18" s="800" t="n"/>
      <c r="Y18" s="801" t="n"/>
      <c r="Z18" s="801" t="n"/>
      <c r="AA18" s="802" t="n"/>
      <c r="AB18" s="810" t="n"/>
      <c r="AC18" s="801" t="n"/>
      <c r="AD18" s="801" t="n"/>
      <c r="AE18" s="31" t="n"/>
      <c r="AF18" s="803" t="n"/>
      <c r="AK18" s="42" t="n"/>
    </row>
    <row r="19" ht="19.5" customHeight="1" s="744">
      <c r="A19" s="814" t="n"/>
      <c r="B19" s="785" t="n"/>
      <c r="C19" s="43" t="inlineStr">
        <is>
          <t>QMC-ACONE-MB</t>
        </is>
      </c>
      <c r="D19" s="43" t="inlineStr">
        <is>
          <t>리큐엠 맥세이프 무선충전기-ACONE_모닝 브리즈</t>
        </is>
      </c>
      <c r="E19" s="786" t="n">
        <v>20</v>
      </c>
      <c r="F19" s="787" t="n"/>
      <c r="G19" s="788" t="n"/>
      <c r="H19" s="789" t="n"/>
      <c r="I19" s="790" t="n"/>
      <c r="J19" s="790" t="n"/>
      <c r="K19" s="171" t="n"/>
      <c r="L19" s="791" t="n"/>
      <c r="M19" s="792" t="n"/>
      <c r="N19" s="792" t="n"/>
      <c r="O19" s="792" t="n"/>
      <c r="P19" s="792" t="n"/>
      <c r="Q19" s="793" t="n"/>
      <c r="R19" s="794" t="n"/>
      <c r="S19" s="795" t="n"/>
      <c r="T19" s="796" t="n"/>
      <c r="U19" s="813" t="n"/>
      <c r="V19" s="798" t="n"/>
      <c r="W19" s="799" t="n"/>
      <c r="X19" s="800" t="n"/>
      <c r="Y19" s="815" t="n"/>
      <c r="Z19" s="816" t="n"/>
      <c r="AA19" s="817" t="n"/>
      <c r="AB19" s="810" t="n"/>
      <c r="AC19" s="801" t="n"/>
      <c r="AD19" s="801" t="n"/>
      <c r="AE19" s="31" t="n"/>
      <c r="AF19" s="803" t="n"/>
      <c r="AK19" s="42" t="n"/>
    </row>
    <row r="20" ht="19.5" customHeight="1" s="744">
      <c r="A20" s="814" t="n"/>
      <c r="B20" s="785" t="n"/>
      <c r="C20" s="43" t="inlineStr">
        <is>
          <t>QMC-ACONE-SS</t>
        </is>
      </c>
      <c r="D20" s="43" t="inlineStr">
        <is>
          <t>리큐엠 맥세이프 무선충전기-ACONE_선셋</t>
        </is>
      </c>
      <c r="E20" s="786" t="n">
        <v>20</v>
      </c>
      <c r="F20" s="787" t="n"/>
      <c r="G20" s="788" t="n"/>
      <c r="H20" s="789" t="n"/>
      <c r="I20" s="790" t="n"/>
      <c r="J20" s="790" t="n"/>
      <c r="K20" s="171" t="n"/>
      <c r="L20" s="791" t="n"/>
      <c r="M20" s="792" t="n"/>
      <c r="N20" s="792" t="n"/>
      <c r="O20" s="792" t="n"/>
      <c r="P20" s="792" t="n"/>
      <c r="Q20" s="793" t="n"/>
      <c r="R20" s="794" t="n"/>
      <c r="S20" s="795" t="n"/>
      <c r="T20" s="796" t="n"/>
      <c r="U20" s="813" t="n"/>
      <c r="V20" s="798" t="n"/>
      <c r="W20" s="799" t="n"/>
      <c r="X20" s="800" t="n"/>
      <c r="Y20" s="815" t="n"/>
      <c r="Z20" s="818" t="n"/>
      <c r="AA20" s="819" t="n"/>
      <c r="AB20" s="810" t="n"/>
      <c r="AC20" s="801" t="n"/>
      <c r="AD20" s="801" t="n"/>
      <c r="AE20" s="31" t="n"/>
      <c r="AF20" s="803" t="n"/>
      <c r="AK20" s="42" t="n"/>
    </row>
    <row r="21" ht="19.5" customHeight="1" s="744">
      <c r="A21" s="820" t="n"/>
      <c r="B21" s="785" t="n"/>
      <c r="C21" s="43" t="inlineStr">
        <is>
          <t>QMC-ACONE-WL</t>
        </is>
      </c>
      <c r="D21" s="43" t="inlineStr">
        <is>
          <t>리큐엠 맥세이프 무선충전기-ACONE_원더랜드</t>
        </is>
      </c>
      <c r="E21" s="786" t="n">
        <v>20</v>
      </c>
      <c r="F21" s="787" t="n"/>
      <c r="G21" s="788" t="n"/>
      <c r="H21" s="789" t="n"/>
      <c r="I21" s="790" t="n"/>
      <c r="J21" s="790" t="n"/>
      <c r="K21" s="171" t="n"/>
      <c r="L21" s="791" t="n"/>
      <c r="M21" s="792" t="n"/>
      <c r="N21" s="792" t="n"/>
      <c r="O21" s="792" t="n"/>
      <c r="P21" s="792" t="n"/>
      <c r="Q21" s="793" t="n"/>
      <c r="R21" s="794" t="n"/>
      <c r="S21" s="795" t="n"/>
      <c r="T21" s="796" t="n"/>
      <c r="U21" s="813" t="n"/>
      <c r="V21" s="798" t="n"/>
      <c r="W21" s="799" t="n"/>
      <c r="X21" s="800" t="n"/>
      <c r="Y21" s="815" t="n"/>
      <c r="Z21" s="818" t="n"/>
      <c r="AA21" s="819" t="n"/>
      <c r="AB21" s="810" t="n"/>
      <c r="AC21" s="801" t="n"/>
      <c r="AD21" s="801" t="n"/>
      <c r="AE21" s="31" t="n"/>
      <c r="AF21" s="803" t="n"/>
      <c r="AK21" s="42" t="n"/>
    </row>
    <row r="22" ht="19.5" customHeight="1" s="744">
      <c r="A22" s="820" t="n"/>
      <c r="B22" s="785" t="n"/>
      <c r="C22" s="43" t="inlineStr">
        <is>
          <t>QMC-ACONE-MS</t>
        </is>
      </c>
      <c r="D22" s="43" t="inlineStr">
        <is>
          <t>리큐엠 맥세이프 무선충전기-ACONE_미드나잇 섀도우</t>
        </is>
      </c>
      <c r="E22" s="786" t="n">
        <v>20</v>
      </c>
      <c r="F22" s="787" t="n"/>
      <c r="G22" s="788" t="n"/>
      <c r="H22" s="789" t="n"/>
      <c r="I22" s="790" t="n"/>
      <c r="J22" s="790" t="n"/>
      <c r="K22" s="171" t="n"/>
      <c r="L22" s="791" t="n"/>
      <c r="M22" s="792" t="n"/>
      <c r="N22" s="792" t="n"/>
      <c r="O22" s="792" t="n"/>
      <c r="P22" s="792" t="n"/>
      <c r="Q22" s="793" t="n"/>
      <c r="R22" s="794" t="n"/>
      <c r="S22" s="795" t="n"/>
      <c r="T22" s="796" t="n"/>
      <c r="U22" s="813" t="n"/>
      <c r="V22" s="798" t="n"/>
      <c r="W22" s="799" t="n"/>
      <c r="X22" s="800" t="n"/>
      <c r="Y22" s="815" t="n"/>
      <c r="Z22" s="821" t="n"/>
      <c r="AA22" s="822" t="n"/>
      <c r="AB22" s="810" t="n"/>
      <c r="AC22" s="801" t="n"/>
      <c r="AD22" s="801" t="n"/>
      <c r="AE22" s="31" t="n"/>
      <c r="AF22" s="803" t="n"/>
      <c r="AK22" s="42" t="n"/>
    </row>
    <row r="23" ht="20.1" customFormat="1" customHeight="1" s="125">
      <c r="B23" s="785" t="n"/>
      <c r="C23" s="43" t="inlineStr">
        <is>
          <t>QWC-CW500</t>
        </is>
      </c>
      <c r="D23" s="43" t="inlineStr">
        <is>
          <t>[리큐엠] 차량용무선충전기 QWC-CW500</t>
        </is>
      </c>
      <c r="E23" s="786" t="n">
        <v>40</v>
      </c>
      <c r="F23" s="787" t="n"/>
      <c r="G23" s="788" t="n"/>
      <c r="H23" s="789" t="n"/>
      <c r="I23" s="790" t="n"/>
      <c r="J23" s="790" t="n"/>
      <c r="K23" s="171" t="n"/>
      <c r="L23" s="823" t="n"/>
      <c r="M23" s="824" t="n"/>
      <c r="N23" s="824" t="n"/>
      <c r="O23" s="824" t="n"/>
      <c r="P23" s="824" t="n"/>
      <c r="Q23" s="825" t="n"/>
      <c r="R23" s="794" t="n"/>
      <c r="S23" s="795" t="n"/>
      <c r="T23" s="826" t="n"/>
      <c r="U23" s="797" t="n"/>
      <c r="V23" s="827" t="n"/>
      <c r="W23" s="828" t="n"/>
      <c r="X23" s="804" t="n"/>
      <c r="Y23" s="805" t="n"/>
      <c r="Z23" s="805" t="n"/>
      <c r="AA23" s="806" t="n"/>
      <c r="AB23" s="807" t="n"/>
      <c r="AC23" s="805" t="n"/>
      <c r="AD23" s="805" t="n"/>
      <c r="AE23" s="39" t="n"/>
      <c r="AF23" s="829" t="n"/>
    </row>
    <row r="24" ht="20.1" customFormat="1" customHeight="1" s="125">
      <c r="B24" s="785" t="n"/>
      <c r="C24" s="44" t="inlineStr">
        <is>
          <t>QWC-L5100-A</t>
        </is>
      </c>
      <c r="D24" s="44" t="inlineStr">
        <is>
          <t>[리큐엠] 무선충전기 L5100 애플</t>
        </is>
      </c>
      <c r="E24" s="830" t="n">
        <v>30</v>
      </c>
      <c r="F24" s="831" t="n"/>
      <c r="G24" s="832" t="n"/>
      <c r="H24" s="833" t="n"/>
      <c r="I24" s="834" t="n"/>
      <c r="J24" s="834" t="n"/>
      <c r="K24" s="182" t="n"/>
      <c r="L24" s="835" t="n"/>
      <c r="M24" s="836" t="n"/>
      <c r="N24" s="836" t="n"/>
      <c r="O24" s="836" t="n"/>
      <c r="P24" s="836" t="n"/>
      <c r="Q24" s="837" t="n"/>
      <c r="R24" s="838" t="n"/>
      <c r="S24" s="839" t="n"/>
      <c r="T24" s="840" t="n"/>
      <c r="U24" s="841" t="n"/>
      <c r="V24" s="842" t="n"/>
      <c r="W24" s="843" t="n"/>
      <c r="X24" s="844" t="n"/>
      <c r="Y24" s="845" t="n"/>
      <c r="Z24" s="845" t="n"/>
      <c r="AA24" s="846" t="n"/>
      <c r="AB24" s="847" t="n"/>
      <c r="AC24" s="845" t="n"/>
      <c r="AD24" s="845" t="n"/>
      <c r="AE24" s="310" t="n"/>
      <c r="AF24" s="848" t="n"/>
    </row>
    <row r="25" ht="20.1" customFormat="1" customHeight="1" s="125">
      <c r="B25" s="785" t="n"/>
      <c r="C25" s="44" t="inlineStr">
        <is>
          <t>QWC-L5100-S</t>
        </is>
      </c>
      <c r="D25" s="44" t="inlineStr">
        <is>
          <t>[리큐엠] 무선충전기 L5100 삼성(안드로이드)</t>
        </is>
      </c>
      <c r="E25" s="830" t="n">
        <v>30</v>
      </c>
      <c r="F25" s="831" t="n"/>
      <c r="G25" s="832" t="n"/>
      <c r="H25" s="833" t="n"/>
      <c r="I25" s="834" t="n"/>
      <c r="J25" s="834" t="n"/>
      <c r="K25" s="182" t="n"/>
      <c r="L25" s="835" t="n"/>
      <c r="M25" s="836" t="n"/>
      <c r="N25" s="836" t="n"/>
      <c r="O25" s="836" t="n"/>
      <c r="P25" s="836" t="n"/>
      <c r="Q25" s="837" t="n"/>
      <c r="R25" s="838" t="n"/>
      <c r="S25" s="839" t="n"/>
      <c r="T25" s="840" t="n"/>
      <c r="U25" s="841" t="n"/>
      <c r="V25" s="842" t="n"/>
      <c r="W25" s="843" t="n"/>
      <c r="X25" s="844" t="n"/>
      <c r="Y25" s="845" t="n"/>
      <c r="Z25" s="845" t="n"/>
      <c r="AA25" s="846" t="n"/>
      <c r="AB25" s="847" t="n"/>
      <c r="AC25" s="845" t="n"/>
      <c r="AD25" s="845" t="n"/>
      <c r="AE25" s="310" t="n"/>
      <c r="AF25" s="848" t="n"/>
    </row>
    <row r="26" ht="20.1" customFormat="1" customHeight="1" s="125">
      <c r="B26" s="785" t="n"/>
      <c r="C26" s="44" t="inlineStr">
        <is>
          <t>QMC-T3100_BE</t>
        </is>
      </c>
      <c r="D26" s="44" t="inlineStr">
        <is>
          <t>맥세이프 폴더블 3IN1 무선충전기_베이지</t>
        </is>
      </c>
      <c r="E26" s="830" t="n">
        <v>50</v>
      </c>
      <c r="F26" s="831" t="n"/>
      <c r="G26" s="832" t="n"/>
      <c r="H26" s="833" t="n"/>
      <c r="I26" s="834" t="n"/>
      <c r="J26" s="834" t="n"/>
      <c r="K26" s="182" t="n"/>
      <c r="L26" s="835" t="n"/>
      <c r="M26" s="836" t="n"/>
      <c r="N26" s="836" t="n"/>
      <c r="O26" s="836" t="n"/>
      <c r="P26" s="836" t="n"/>
      <c r="Q26" s="837" t="n"/>
      <c r="R26" s="838" t="n"/>
      <c r="S26" s="839" t="n"/>
      <c r="T26" s="840" t="n"/>
      <c r="U26" s="841" t="n"/>
      <c r="V26" s="842" t="n"/>
      <c r="W26" s="843" t="n"/>
      <c r="X26" s="849" t="n"/>
      <c r="Y26" s="850" t="n"/>
      <c r="Z26" s="850" t="n"/>
      <c r="AA26" s="851" t="n"/>
      <c r="AB26" s="852" t="n"/>
      <c r="AC26" s="850" t="n"/>
      <c r="AD26" s="850" t="n"/>
      <c r="AE26" s="292" t="n"/>
      <c r="AF26" s="848" t="n"/>
    </row>
    <row r="27" ht="20.1" customFormat="1" customHeight="1" s="125">
      <c r="B27" s="785" t="n"/>
      <c r="C27" s="44" t="inlineStr">
        <is>
          <t>QMC-T3100_BK</t>
        </is>
      </c>
      <c r="D27" s="44" t="inlineStr">
        <is>
          <t>맥세이프 폴더블 3IN1 무선충전기_블랙</t>
        </is>
      </c>
      <c r="E27" s="830" t="n">
        <v>50</v>
      </c>
      <c r="F27" s="831" t="n"/>
      <c r="G27" s="832" t="n"/>
      <c r="H27" s="833" t="n"/>
      <c r="I27" s="834" t="n"/>
      <c r="J27" s="834" t="n"/>
      <c r="K27" s="182" t="n"/>
      <c r="L27" s="835" t="n"/>
      <c r="M27" s="836" t="n"/>
      <c r="N27" s="836" t="n"/>
      <c r="O27" s="836" t="n"/>
      <c r="P27" s="836" t="n"/>
      <c r="Q27" s="837" t="n"/>
      <c r="R27" s="838" t="n"/>
      <c r="S27" s="839" t="n"/>
      <c r="T27" s="840" t="n"/>
      <c r="U27" s="841" t="n"/>
      <c r="V27" s="842" t="n"/>
      <c r="W27" s="843" t="n"/>
      <c r="X27" s="849" t="n"/>
      <c r="Y27" s="850" t="n"/>
      <c r="Z27" s="850" t="n"/>
      <c r="AA27" s="851" t="n"/>
      <c r="AB27" s="852" t="n"/>
      <c r="AC27" s="850" t="n"/>
      <c r="AD27" s="850" t="n"/>
      <c r="AE27" s="292" t="n"/>
      <c r="AF27" s="848" t="n"/>
    </row>
    <row r="28" ht="19.5" customHeight="1" s="744" thickBot="1">
      <c r="B28" s="785" t="n"/>
      <c r="C28" s="44" t="inlineStr">
        <is>
          <t>QWC-A1500A</t>
        </is>
      </c>
      <c r="D28" s="44" t="inlineStr">
        <is>
          <t>무선충전기 QWC-A1500A</t>
        </is>
      </c>
      <c r="E28" s="830" t="n">
        <v>100</v>
      </c>
      <c r="F28" s="831" t="n"/>
      <c r="G28" s="832" t="n"/>
      <c r="H28" s="833" t="n"/>
      <c r="I28" s="834" t="n"/>
      <c r="J28" s="834" t="n"/>
      <c r="K28" s="182" t="n"/>
      <c r="L28" s="853" t="n"/>
      <c r="M28" s="854" t="n"/>
      <c r="N28" s="854" t="n"/>
      <c r="O28" s="854" t="n"/>
      <c r="P28" s="854" t="n"/>
      <c r="Q28" s="855" t="n"/>
      <c r="R28" s="838" t="n"/>
      <c r="S28" s="839" t="n"/>
      <c r="T28" s="856" t="n"/>
      <c r="U28" s="857" t="n"/>
      <c r="V28" s="858" t="n"/>
      <c r="W28" s="855" t="n"/>
      <c r="X28" s="844" t="n"/>
      <c r="Y28" s="845" t="n"/>
      <c r="Z28" s="845" t="n"/>
      <c r="AA28" s="846" t="n"/>
      <c r="AB28" s="847" t="n"/>
      <c r="AC28" s="845" t="n"/>
      <c r="AD28" s="845" t="n"/>
      <c r="AE28" s="310" t="n"/>
      <c r="AF28" s="859" t="n"/>
    </row>
    <row r="29" ht="20.1" customHeight="1" s="744">
      <c r="B29" s="860" t="inlineStr">
        <is>
          <t>보조배터리</t>
        </is>
      </c>
      <c r="C29" s="341" t="inlineStr">
        <is>
          <t>[RQM]-QMP5-WH</t>
        </is>
      </c>
      <c r="D29" s="299" t="inlineStr">
        <is>
          <t>[리큐엠] 맥세이프 무선충전 보조배터리 QMP5 화이트</t>
        </is>
      </c>
      <c r="E29" s="766" t="n">
        <v>50</v>
      </c>
      <c r="F29" s="767" t="n"/>
      <c r="G29" s="861" t="n"/>
      <c r="H29" s="862" t="n"/>
      <c r="I29" s="863" t="n"/>
      <c r="J29" s="863" t="n"/>
      <c r="K29" s="185" t="n"/>
      <c r="L29" s="771" t="n"/>
      <c r="M29" s="772" t="n"/>
      <c r="N29" s="772" t="n"/>
      <c r="O29" s="772" t="n"/>
      <c r="P29" s="772" t="n"/>
      <c r="Q29" s="773" t="n"/>
      <c r="R29" s="774" t="n"/>
      <c r="S29" s="775" t="n"/>
      <c r="T29" s="864" t="n"/>
      <c r="U29" s="777" t="n"/>
      <c r="V29" s="778" t="n"/>
      <c r="W29" s="779" t="n"/>
      <c r="X29" s="865" t="n"/>
      <c r="Y29" s="866" t="n"/>
      <c r="Z29" s="866" t="n"/>
      <c r="AA29" s="867" t="n"/>
      <c r="AB29" s="868" t="n"/>
      <c r="AC29" s="866" t="n"/>
      <c r="AD29" s="866" t="n"/>
      <c r="AE29" s="302" t="n"/>
      <c r="AF29" s="783" t="n"/>
    </row>
    <row r="30" ht="20.1" customHeight="1" s="744">
      <c r="B30" s="785" t="n"/>
      <c r="C30" s="258" t="inlineStr">
        <is>
          <t>[RQM]-QP1000C1-BK</t>
        </is>
      </c>
      <c r="D30" s="258" t="inlineStr">
        <is>
          <t>[리큐엠] 보조배터리 QP1000C1 블랙</t>
        </is>
      </c>
      <c r="E30" s="869" t="n">
        <v>30</v>
      </c>
      <c r="F30" s="870" t="n"/>
      <c r="G30" s="871" t="n"/>
      <c r="H30" s="872" t="n"/>
      <c r="I30" s="873" t="n"/>
      <c r="J30" s="873" t="n"/>
      <c r="K30" s="262" t="n"/>
      <c r="L30" s="874" t="n"/>
      <c r="M30" s="875" t="n"/>
      <c r="N30" s="875" t="n"/>
      <c r="O30" s="875" t="n"/>
      <c r="P30" s="875" t="n"/>
      <c r="Q30" s="876" t="n"/>
      <c r="R30" s="794" t="n"/>
      <c r="S30" s="795" t="n"/>
      <c r="T30" s="796" t="n"/>
      <c r="U30" s="813" t="n"/>
      <c r="V30" s="858" t="n"/>
      <c r="W30" s="793" t="n"/>
      <c r="X30" s="800" t="n"/>
      <c r="Y30" s="801" t="n"/>
      <c r="Z30" s="801" t="n"/>
      <c r="AA30" s="802" t="n"/>
      <c r="AB30" s="877" t="n"/>
      <c r="AC30" s="878" t="n"/>
      <c r="AD30" s="878" t="n"/>
      <c r="AE30" s="31" t="n"/>
      <c r="AF30" s="803" t="n"/>
    </row>
    <row r="31" ht="20.1" customHeight="1" s="744">
      <c r="B31" s="785" t="n"/>
      <c r="C31" s="258" t="inlineStr">
        <is>
          <t>[RQM]-QP1000C1-WH</t>
        </is>
      </c>
      <c r="D31" s="258" t="inlineStr">
        <is>
          <t>[리큐엠] 보조배터리 QP1000C1 화이트</t>
        </is>
      </c>
      <c r="E31" s="869" t="n">
        <v>30</v>
      </c>
      <c r="F31" s="870" t="n"/>
      <c r="G31" s="871" t="n"/>
      <c r="H31" s="872" t="n"/>
      <c r="I31" s="873" t="n"/>
      <c r="J31" s="873" t="n"/>
      <c r="K31" s="262" t="n"/>
      <c r="L31" s="874" t="n"/>
      <c r="M31" s="875" t="n"/>
      <c r="N31" s="875" t="n"/>
      <c r="O31" s="875" t="n"/>
      <c r="P31" s="875" t="n"/>
      <c r="Q31" s="876" t="n"/>
      <c r="R31" s="794" t="n"/>
      <c r="S31" s="795" t="n"/>
      <c r="T31" s="796" t="n"/>
      <c r="U31" s="813" t="n"/>
      <c r="V31" s="858" t="n"/>
      <c r="W31" s="793" t="n"/>
      <c r="X31" s="800" t="n"/>
      <c r="Y31" s="801" t="n"/>
      <c r="Z31" s="801" t="n"/>
      <c r="AA31" s="802" t="n"/>
      <c r="AB31" s="877" t="n"/>
      <c r="AC31" s="878" t="n"/>
      <c r="AD31" s="878" t="n"/>
      <c r="AE31" s="31" t="n"/>
      <c r="AF31" s="803" t="n"/>
    </row>
    <row r="32" ht="20.1" customHeight="1" s="744">
      <c r="B32" s="785" t="n"/>
      <c r="C32" s="258" t="inlineStr">
        <is>
          <t>[RQM]-QP1000C1-BL</t>
        </is>
      </c>
      <c r="D32" s="258" t="inlineStr">
        <is>
          <t>[리큐엠] 보조배터리 QP1000C1 블루</t>
        </is>
      </c>
      <c r="E32" s="869" t="n">
        <v>30</v>
      </c>
      <c r="F32" s="870" t="n"/>
      <c r="G32" s="871" t="n"/>
      <c r="H32" s="872" t="n"/>
      <c r="I32" s="873" t="n"/>
      <c r="J32" s="873" t="n"/>
      <c r="K32" s="262" t="n"/>
      <c r="L32" s="874" t="n"/>
      <c r="M32" s="875" t="n"/>
      <c r="N32" s="875" t="n"/>
      <c r="O32" s="875" t="n"/>
      <c r="P32" s="875" t="n"/>
      <c r="Q32" s="876" t="n"/>
      <c r="R32" s="794" t="n"/>
      <c r="S32" s="795" t="n"/>
      <c r="T32" s="796" t="n"/>
      <c r="U32" s="813" t="n"/>
      <c r="V32" s="858" t="n"/>
      <c r="W32" s="793" t="n"/>
      <c r="X32" s="800" t="n"/>
      <c r="Y32" s="801" t="n"/>
      <c r="Z32" s="801" t="n"/>
      <c r="AA32" s="802" t="n"/>
      <c r="AB32" s="877" t="n"/>
      <c r="AC32" s="878" t="n"/>
      <c r="AD32" s="878" t="n"/>
      <c r="AE32" s="31" t="n"/>
      <c r="AF32" s="803" t="n"/>
    </row>
    <row r="33" ht="20.1" customHeight="1" s="744">
      <c r="B33" s="785" t="n"/>
      <c r="C33" s="258" t="inlineStr">
        <is>
          <t>[RQM]-QP1000C1-PK</t>
        </is>
      </c>
      <c r="D33" s="258" t="inlineStr">
        <is>
          <t>[리큐엠] 보조배터리 QP1000C1 핑크</t>
        </is>
      </c>
      <c r="E33" s="869" t="n">
        <v>30</v>
      </c>
      <c r="F33" s="870" t="n"/>
      <c r="G33" s="871" t="n"/>
      <c r="H33" s="872" t="n"/>
      <c r="I33" s="873" t="n"/>
      <c r="J33" s="873" t="n"/>
      <c r="K33" s="262" t="n"/>
      <c r="L33" s="874" t="n"/>
      <c r="M33" s="875" t="n"/>
      <c r="N33" s="875" t="n"/>
      <c r="O33" s="875" t="n"/>
      <c r="P33" s="875" t="n"/>
      <c r="Q33" s="876" t="n"/>
      <c r="R33" s="794" t="n"/>
      <c r="S33" s="795" t="n"/>
      <c r="T33" s="796" t="n"/>
      <c r="U33" s="813" t="n"/>
      <c r="V33" s="858" t="n"/>
      <c r="W33" s="793" t="n"/>
      <c r="X33" s="800" t="n"/>
      <c r="Y33" s="801" t="n"/>
      <c r="Z33" s="801" t="n"/>
      <c r="AA33" s="802" t="n"/>
      <c r="AB33" s="877" t="n"/>
      <c r="AC33" s="878" t="n"/>
      <c r="AD33" s="878" t="n"/>
      <c r="AE33" s="31" t="n"/>
      <c r="AF33" s="803" t="n"/>
    </row>
    <row r="34" ht="20.1" customHeight="1" s="744">
      <c r="B34" s="785" t="n"/>
      <c r="C34" s="258" t="inlineStr">
        <is>
          <t>QP1000C1-Butter</t>
        </is>
      </c>
      <c r="D34" s="258" t="inlineStr">
        <is>
          <t>[리큐엠] 보조배터리 QP1000C1 버터</t>
        </is>
      </c>
      <c r="E34" s="869" t="n">
        <v>30</v>
      </c>
      <c r="F34" s="870" t="n"/>
      <c r="G34" s="871" t="n"/>
      <c r="H34" s="872" t="n"/>
      <c r="I34" s="873" t="n"/>
      <c r="J34" s="873" t="n"/>
      <c r="K34" s="262" t="n"/>
      <c r="L34" s="874" t="n"/>
      <c r="M34" s="875" t="n"/>
      <c r="N34" s="875" t="n"/>
      <c r="O34" s="875" t="n"/>
      <c r="P34" s="875" t="n"/>
      <c r="Q34" s="876" t="n"/>
      <c r="R34" s="794" t="n"/>
      <c r="S34" s="795" t="n"/>
      <c r="T34" s="796" t="n"/>
      <c r="U34" s="813" t="n"/>
      <c r="V34" s="858" t="n"/>
      <c r="W34" s="793" t="n"/>
      <c r="X34" s="800" t="n"/>
      <c r="Y34" s="801" t="n"/>
      <c r="Z34" s="801" t="n"/>
      <c r="AA34" s="802" t="n"/>
      <c r="AB34" s="877" t="n"/>
      <c r="AC34" s="878" t="n"/>
      <c r="AD34" s="878" t="n"/>
      <c r="AE34" s="31" t="n"/>
      <c r="AF34" s="803" t="n"/>
    </row>
    <row r="35" ht="20.1" customHeight="1" s="744">
      <c r="B35" s="785" t="n"/>
      <c r="C35" s="258" t="inlineStr">
        <is>
          <t>QP1000C1-Carrot</t>
        </is>
      </c>
      <c r="D35" s="258" t="inlineStr">
        <is>
          <t>[리큐엠] 보조배터리 QP1000C1 캐롯</t>
        </is>
      </c>
      <c r="E35" s="869" t="n">
        <v>30</v>
      </c>
      <c r="F35" s="870" t="n"/>
      <c r="G35" s="871" t="n"/>
      <c r="H35" s="872" t="n"/>
      <c r="I35" s="873" t="n"/>
      <c r="J35" s="873" t="n"/>
      <c r="K35" s="262" t="n"/>
      <c r="L35" s="874" t="n"/>
      <c r="M35" s="875" t="n"/>
      <c r="N35" s="875" t="n"/>
      <c r="O35" s="875" t="n"/>
      <c r="P35" s="875" t="n"/>
      <c r="Q35" s="876" t="n"/>
      <c r="R35" s="794" t="n"/>
      <c r="S35" s="795" t="n"/>
      <c r="T35" s="796" t="n"/>
      <c r="U35" s="813" t="n"/>
      <c r="V35" s="858" t="n"/>
      <c r="W35" s="793" t="n"/>
      <c r="X35" s="800" t="n"/>
      <c r="Y35" s="801" t="n"/>
      <c r="Z35" s="801" t="n"/>
      <c r="AA35" s="802" t="n"/>
      <c r="AB35" s="877" t="n"/>
      <c r="AC35" s="878" t="n"/>
      <c r="AD35" s="878" t="n"/>
      <c r="AE35" s="31" t="n"/>
      <c r="AF35" s="803" t="n"/>
    </row>
    <row r="36" ht="20.1" customHeight="1" s="744">
      <c r="B36" s="785" t="n"/>
      <c r="C36" s="258" t="inlineStr">
        <is>
          <t>QP1000C1-NeonGreen</t>
        </is>
      </c>
      <c r="D36" s="258" t="inlineStr">
        <is>
          <t>[리큐엠] 보조배터리 QP1000C1 네온그린</t>
        </is>
      </c>
      <c r="E36" s="869" t="n">
        <v>30</v>
      </c>
      <c r="F36" s="870" t="n"/>
      <c r="G36" s="871" t="n"/>
      <c r="H36" s="872" t="n"/>
      <c r="I36" s="873" t="n"/>
      <c r="J36" s="873" t="n"/>
      <c r="K36" s="262" t="n"/>
      <c r="L36" s="874" t="n"/>
      <c r="M36" s="875" t="n"/>
      <c r="N36" s="875" t="n"/>
      <c r="O36" s="875" t="n"/>
      <c r="P36" s="875" t="n"/>
      <c r="Q36" s="876" t="n"/>
      <c r="R36" s="794" t="n"/>
      <c r="S36" s="795" t="n"/>
      <c r="T36" s="796" t="n"/>
      <c r="U36" s="813" t="n"/>
      <c r="V36" s="858" t="n"/>
      <c r="W36" s="793" t="n"/>
      <c r="X36" s="804" t="n"/>
      <c r="Y36" s="805" t="n"/>
      <c r="Z36" s="805" t="n"/>
      <c r="AA36" s="806" t="n"/>
      <c r="AB36" s="879" t="n"/>
      <c r="AC36" s="880" t="n"/>
      <c r="AD36" s="880" t="n"/>
      <c r="AE36" s="39" t="n"/>
      <c r="AF36" s="803" t="n"/>
    </row>
    <row r="37" ht="20.1" customHeight="1" s="744">
      <c r="B37" s="785" t="n"/>
      <c r="C37" s="258" t="inlineStr">
        <is>
          <t>QP1000C1-CobaltBlue</t>
        </is>
      </c>
      <c r="D37" s="258" t="inlineStr">
        <is>
          <t>[리큐엠] 보조배터리 QP1000C1 코발트블루</t>
        </is>
      </c>
      <c r="E37" s="869" t="n">
        <v>30</v>
      </c>
      <c r="F37" s="870" t="n"/>
      <c r="G37" s="871" t="n"/>
      <c r="H37" s="872" t="n"/>
      <c r="I37" s="873" t="n"/>
      <c r="J37" s="873" t="n"/>
      <c r="K37" s="262" t="n"/>
      <c r="L37" s="874" t="n"/>
      <c r="M37" s="875" t="n"/>
      <c r="N37" s="875" t="n"/>
      <c r="O37" s="875" t="n"/>
      <c r="P37" s="875" t="n"/>
      <c r="Q37" s="876" t="n"/>
      <c r="R37" s="794" t="n"/>
      <c r="S37" s="795" t="n"/>
      <c r="T37" s="796" t="n"/>
      <c r="U37" s="813" t="n"/>
      <c r="V37" s="858" t="n"/>
      <c r="W37" s="793" t="n"/>
      <c r="X37" s="804" t="n"/>
      <c r="Y37" s="805" t="n"/>
      <c r="Z37" s="805" t="n"/>
      <c r="AA37" s="806" t="n"/>
      <c r="AB37" s="879" t="n"/>
      <c r="AC37" s="880" t="n"/>
      <c r="AD37" s="880" t="n"/>
      <c r="AE37" s="39" t="n"/>
      <c r="AF37" s="803" t="n"/>
    </row>
    <row r="38" ht="20.1" customHeight="1" s="744">
      <c r="B38" s="785" t="n"/>
      <c r="C38" s="258" t="inlineStr">
        <is>
          <t>[RQM]-QP2000C1-BK</t>
        </is>
      </c>
      <c r="D38" s="258" t="inlineStr">
        <is>
          <t>[리큐엠] QP2000C 블랙</t>
        </is>
      </c>
      <c r="E38" s="869" t="n">
        <v>30</v>
      </c>
      <c r="F38" s="870" t="n"/>
      <c r="G38" s="871" t="n"/>
      <c r="H38" s="872" t="n"/>
      <c r="I38" s="873" t="n"/>
      <c r="J38" s="873" t="n"/>
      <c r="K38" s="262" t="n"/>
      <c r="L38" s="874" t="n"/>
      <c r="M38" s="875" t="n"/>
      <c r="N38" s="875" t="n"/>
      <c r="O38" s="875" t="n"/>
      <c r="P38" s="875" t="n"/>
      <c r="Q38" s="876" t="n"/>
      <c r="R38" s="794" t="n"/>
      <c r="S38" s="795" t="n"/>
      <c r="T38" s="796" t="n"/>
      <c r="U38" s="813" t="n"/>
      <c r="V38" s="858" t="n"/>
      <c r="W38" s="793" t="n"/>
      <c r="X38" s="800" t="n"/>
      <c r="Y38" s="801" t="n"/>
      <c r="Z38" s="801" t="n"/>
      <c r="AA38" s="802" t="n"/>
      <c r="AB38" s="877" t="n"/>
      <c r="AC38" s="878" t="n"/>
      <c r="AD38" s="878" t="n"/>
      <c r="AE38" s="31" t="n"/>
      <c r="AF38" s="803" t="n"/>
    </row>
    <row r="39" ht="20.1" customHeight="1" s="744">
      <c r="B39" s="785" t="n"/>
      <c r="C39" s="258" t="inlineStr">
        <is>
          <t>[RQM]-QP2000C1-WH</t>
        </is>
      </c>
      <c r="D39" s="258" t="inlineStr">
        <is>
          <t>[리큐엠] QP2000C 화이트</t>
        </is>
      </c>
      <c r="E39" s="869" t="n">
        <v>30</v>
      </c>
      <c r="F39" s="870" t="n"/>
      <c r="G39" s="871" t="n"/>
      <c r="H39" s="872" t="n"/>
      <c r="I39" s="873" t="n"/>
      <c r="J39" s="873" t="n"/>
      <c r="K39" s="262" t="n"/>
      <c r="L39" s="874" t="n"/>
      <c r="M39" s="875" t="n"/>
      <c r="N39" s="875" t="n"/>
      <c r="O39" s="875" t="n"/>
      <c r="P39" s="875" t="n"/>
      <c r="Q39" s="876" t="n"/>
      <c r="R39" s="794" t="n"/>
      <c r="S39" s="795" t="n"/>
      <c r="T39" s="796" t="n"/>
      <c r="U39" s="813" t="n"/>
      <c r="V39" s="858" t="n"/>
      <c r="W39" s="793" t="n"/>
      <c r="X39" s="800" t="n"/>
      <c r="Y39" s="801" t="n"/>
      <c r="Z39" s="801" t="n"/>
      <c r="AA39" s="802" t="n"/>
      <c r="AB39" s="877" t="n"/>
      <c r="AC39" s="878" t="n"/>
      <c r="AD39" s="878" t="n"/>
      <c r="AE39" s="31" t="n"/>
      <c r="AF39" s="803" t="n"/>
    </row>
    <row r="40" ht="20.1" customHeight="1" s="744">
      <c r="B40" s="785" t="n"/>
      <c r="C40" s="258" t="inlineStr">
        <is>
          <t>[RQM]-QP2000C1-Beige</t>
        </is>
      </c>
      <c r="D40" s="258" t="inlineStr">
        <is>
          <t>[리큐엠] QP2000C 베이지</t>
        </is>
      </c>
      <c r="E40" s="869" t="n">
        <v>30</v>
      </c>
      <c r="F40" s="870" t="n"/>
      <c r="G40" s="871" t="n"/>
      <c r="H40" s="872" t="n"/>
      <c r="I40" s="873" t="n"/>
      <c r="J40" s="873" t="n"/>
      <c r="K40" s="262" t="n"/>
      <c r="L40" s="874" t="n"/>
      <c r="M40" s="875" t="n"/>
      <c r="N40" s="875" t="n"/>
      <c r="O40" s="875" t="n"/>
      <c r="P40" s="875" t="n"/>
      <c r="Q40" s="876" t="n"/>
      <c r="R40" s="794" t="n"/>
      <c r="S40" s="795" t="n"/>
      <c r="T40" s="796" t="n"/>
      <c r="U40" s="813" t="n"/>
      <c r="V40" s="858" t="n"/>
      <c r="W40" s="793" t="n"/>
      <c r="X40" s="800" t="n"/>
      <c r="Y40" s="801" t="n"/>
      <c r="Z40" s="801" t="n"/>
      <c r="AA40" s="802" t="n"/>
      <c r="AB40" s="877" t="n"/>
      <c r="AC40" s="878" t="n"/>
      <c r="AD40" s="878" t="n"/>
      <c r="AE40" s="31" t="n"/>
      <c r="AF40" s="803" t="n"/>
    </row>
    <row r="41" ht="20.1" customHeight="1" s="744">
      <c r="B41" s="785" t="n"/>
      <c r="C41" s="44" t="inlineStr">
        <is>
          <t>[RQM]-QP2000C1-Green</t>
        </is>
      </c>
      <c r="D41" s="44" t="inlineStr">
        <is>
          <t>[리큐엠] QP2000C 그린</t>
        </is>
      </c>
      <c r="E41" s="830" t="n">
        <v>30</v>
      </c>
      <c r="F41" s="831" t="n"/>
      <c r="G41" s="832" t="n"/>
      <c r="H41" s="833" t="n"/>
      <c r="I41" s="834" t="n"/>
      <c r="J41" s="834" t="n"/>
      <c r="K41" s="182" t="n"/>
      <c r="L41" s="853" t="n"/>
      <c r="M41" s="854" t="n"/>
      <c r="N41" s="854" t="n"/>
      <c r="O41" s="854" t="n"/>
      <c r="P41" s="854" t="n"/>
      <c r="Q41" s="855" t="n"/>
      <c r="R41" s="838" t="n"/>
      <c r="S41" s="839" t="n"/>
      <c r="T41" s="856" t="n"/>
      <c r="U41" s="857" t="n"/>
      <c r="V41" s="858" t="n"/>
      <c r="W41" s="881" t="n"/>
      <c r="X41" s="882" t="n"/>
      <c r="Y41" s="883" t="n"/>
      <c r="Z41" s="883" t="n"/>
      <c r="AA41" s="884" t="n"/>
      <c r="AB41" s="885" t="n"/>
      <c r="AC41" s="886" t="n"/>
      <c r="AD41" s="886" t="n"/>
      <c r="AE41" s="292" t="n"/>
      <c r="AF41" s="859" t="n"/>
    </row>
    <row r="42" ht="20.1" customHeight="1" s="744">
      <c r="B42" s="785" t="n"/>
      <c r="C42" s="44" t="inlineStr">
        <is>
          <t>QP2000C_SageMint</t>
        </is>
      </c>
      <c r="D42" s="44" t="inlineStr">
        <is>
          <t>QP2000C_세이지민트</t>
        </is>
      </c>
      <c r="E42" s="830" t="n">
        <v>30</v>
      </c>
      <c r="F42" s="831" t="n"/>
      <c r="G42" s="832" t="n"/>
      <c r="H42" s="833" t="n"/>
      <c r="I42" s="834" t="n"/>
      <c r="J42" s="834" t="n"/>
      <c r="K42" s="182" t="n"/>
      <c r="L42" s="853" t="n"/>
      <c r="M42" s="854" t="n"/>
      <c r="N42" s="854" t="n"/>
      <c r="O42" s="854" t="n"/>
      <c r="P42" s="854" t="n"/>
      <c r="Q42" s="855" t="n"/>
      <c r="R42" s="838" t="n"/>
      <c r="S42" s="839" t="n"/>
      <c r="T42" s="856" t="n"/>
      <c r="U42" s="857" t="n"/>
      <c r="V42" s="858" t="n"/>
      <c r="W42" s="881" t="n"/>
      <c r="X42" s="800" t="n"/>
      <c r="Y42" s="801" t="n"/>
      <c r="Z42" s="801" t="n"/>
      <c r="AA42" s="802" t="n"/>
      <c r="AB42" s="885" t="n"/>
      <c r="AC42" s="886" t="n"/>
      <c r="AD42" s="886" t="n"/>
      <c r="AE42" s="292" t="n"/>
      <c r="AF42" s="859" t="n"/>
    </row>
    <row r="43" ht="20.1" customHeight="1" s="744">
      <c r="B43" s="785" t="n"/>
      <c r="C43" s="44" t="inlineStr">
        <is>
          <t>QP2000C_TomatoRed</t>
        </is>
      </c>
      <c r="D43" s="44" t="inlineStr">
        <is>
          <t>QP2000C_토마토레드</t>
        </is>
      </c>
      <c r="E43" s="830" t="n">
        <v>30</v>
      </c>
      <c r="F43" s="831" t="n"/>
      <c r="G43" s="832" t="n"/>
      <c r="H43" s="833" t="n"/>
      <c r="I43" s="834" t="n"/>
      <c r="J43" s="834" t="n"/>
      <c r="K43" s="182" t="n"/>
      <c r="L43" s="853" t="n"/>
      <c r="M43" s="854" t="n"/>
      <c r="N43" s="854" t="n"/>
      <c r="O43" s="854" t="n"/>
      <c r="P43" s="854" t="n"/>
      <c r="Q43" s="855" t="n"/>
      <c r="R43" s="838" t="n"/>
      <c r="S43" s="839" t="n"/>
      <c r="T43" s="856" t="n"/>
      <c r="U43" s="857" t="n"/>
      <c r="V43" s="858" t="n"/>
      <c r="W43" s="881" t="n"/>
      <c r="X43" s="882" t="n"/>
      <c r="Y43" s="883" t="n"/>
      <c r="Z43" s="883" t="n"/>
      <c r="AA43" s="884" t="n"/>
      <c r="AB43" s="885" t="n"/>
      <c r="AC43" s="886" t="n"/>
      <c r="AD43" s="886" t="n"/>
      <c r="AE43" s="292" t="n"/>
      <c r="AF43" s="859" t="n"/>
    </row>
    <row r="44" ht="20.1" customHeight="1" s="744">
      <c r="B44" s="785" t="n"/>
      <c r="C44" s="44" t="inlineStr">
        <is>
          <t>[RQM]QP2000A(CP)-BK</t>
        </is>
      </c>
      <c r="D44" s="44" t="inlineStr">
        <is>
          <t>[리큐엠] QP2000A(CP) 블랙</t>
        </is>
      </c>
      <c r="E44" s="830" t="n">
        <v>30</v>
      </c>
      <c r="F44" s="831" t="n"/>
      <c r="G44" s="832" t="n"/>
      <c r="H44" s="833" t="n"/>
      <c r="I44" s="834" t="n"/>
      <c r="J44" s="834" t="n"/>
      <c r="K44" s="182" t="n"/>
      <c r="L44" s="853" t="n"/>
      <c r="M44" s="854" t="n"/>
      <c r="N44" s="854" t="n"/>
      <c r="O44" s="854" t="n"/>
      <c r="P44" s="854" t="n"/>
      <c r="Q44" s="855" t="n"/>
      <c r="R44" s="838" t="n"/>
      <c r="S44" s="839" t="n"/>
      <c r="T44" s="856" t="n"/>
      <c r="U44" s="857" t="n"/>
      <c r="V44" s="858" t="n"/>
      <c r="W44" s="881" t="n"/>
      <c r="X44" s="804" t="n"/>
      <c r="Y44" s="805" t="n"/>
      <c r="Z44" s="805" t="n"/>
      <c r="AA44" s="806" t="n"/>
      <c r="AB44" s="887" t="n"/>
      <c r="AC44" s="888" t="n"/>
      <c r="AD44" s="888" t="n"/>
      <c r="AE44" s="310" t="n"/>
      <c r="AF44" s="859" t="n"/>
    </row>
    <row r="45" ht="20.1" customHeight="1" s="744">
      <c r="B45" s="785" t="n"/>
      <c r="C45" s="44" t="inlineStr">
        <is>
          <t>SP-일체형8핀</t>
        </is>
      </c>
      <c r="D45" s="44" t="inlineStr">
        <is>
          <t>[SOMOON]5,000mAh 일체형 보조배터리_A8</t>
        </is>
      </c>
      <c r="E45" s="830" t="n">
        <v>100</v>
      </c>
      <c r="F45" s="831" t="n"/>
      <c r="G45" s="832" t="n"/>
      <c r="H45" s="833" t="n"/>
      <c r="I45" s="834" t="n"/>
      <c r="J45" s="834" t="n"/>
      <c r="K45" s="182" t="n"/>
      <c r="L45" s="853" t="n"/>
      <c r="M45" s="854" t="n"/>
      <c r="N45" s="854" t="n"/>
      <c r="O45" s="854" t="n"/>
      <c r="P45" s="854" t="n"/>
      <c r="Q45" s="855" t="n"/>
      <c r="R45" s="838" t="n"/>
      <c r="S45" s="839" t="n"/>
      <c r="T45" s="856" t="n"/>
      <c r="U45" s="857" t="n"/>
      <c r="V45" s="858" t="n"/>
      <c r="W45" s="881" t="n"/>
      <c r="X45" s="804" t="n"/>
      <c r="Y45" s="805" t="n"/>
      <c r="Z45" s="805" t="n"/>
      <c r="AA45" s="806" t="n"/>
      <c r="AB45" s="887" t="n"/>
      <c r="AC45" s="888" t="n"/>
      <c r="AD45" s="888" t="n"/>
      <c r="AE45" s="310" t="n"/>
      <c r="AF45" s="859" t="n"/>
    </row>
    <row r="46" ht="20.1" customHeight="1" s="744" thickBot="1">
      <c r="B46" s="757" t="n"/>
      <c r="C46" s="44" t="inlineStr">
        <is>
          <t>SP-AC50-공용8핀</t>
        </is>
      </c>
      <c r="D46" s="44" t="inlineStr">
        <is>
          <t>[SOMOON]5,000mAh 일체형 보조배터리(공용)_AC50</t>
        </is>
      </c>
      <c r="E46" s="830" t="n">
        <v>50</v>
      </c>
      <c r="F46" s="831" t="n"/>
      <c r="G46" s="832" t="n"/>
      <c r="H46" s="833" t="n"/>
      <c r="I46" s="834" t="n"/>
      <c r="J46" s="834" t="n"/>
      <c r="K46" s="182" t="n"/>
      <c r="L46" s="853" t="n"/>
      <c r="M46" s="854" t="n"/>
      <c r="N46" s="854" t="n"/>
      <c r="O46" s="854" t="n"/>
      <c r="P46" s="854" t="n"/>
      <c r="Q46" s="855" t="n"/>
      <c r="R46" s="838" t="n"/>
      <c r="S46" s="839" t="n"/>
      <c r="T46" s="856" t="n"/>
      <c r="U46" s="857" t="n"/>
      <c r="V46" s="858" t="n"/>
      <c r="W46" s="881" t="n"/>
      <c r="X46" s="889" t="n"/>
      <c r="Y46" s="890" t="n"/>
      <c r="Z46" s="890" t="n"/>
      <c r="AA46" s="891" t="n"/>
      <c r="AB46" s="887" t="n"/>
      <c r="AC46" s="888" t="n"/>
      <c r="AD46" s="888" t="n"/>
      <c r="AE46" s="310" t="n"/>
      <c r="AF46" s="859" t="n"/>
    </row>
    <row r="47" ht="20.1" customHeight="1" s="744">
      <c r="B47" s="860" t="inlineStr">
        <is>
          <t>셀카봉</t>
        </is>
      </c>
      <c r="C47" s="193" t="inlineStr">
        <is>
          <t>QS-QST01M_BK</t>
        </is>
      </c>
      <c r="D47" s="194" t="inlineStr">
        <is>
          <t>리큐엠 셀카봉-QST01M미니_블랙</t>
        </is>
      </c>
      <c r="E47" s="892" t="n">
        <v>50</v>
      </c>
      <c r="F47" s="893" t="n"/>
      <c r="G47" s="894" t="n"/>
      <c r="H47" s="862" t="n"/>
      <c r="I47" s="863" t="n"/>
      <c r="J47" s="863" t="n"/>
      <c r="K47" s="185" t="n"/>
      <c r="L47" s="895" t="n"/>
      <c r="M47" s="896" t="n"/>
      <c r="N47" s="896" t="n"/>
      <c r="O47" s="896" t="n"/>
      <c r="P47" s="896" t="n"/>
      <c r="Q47" s="897" t="n"/>
      <c r="R47" s="898" t="n"/>
      <c r="S47" s="899" t="n"/>
      <c r="T47" s="864" t="n"/>
      <c r="U47" s="900" t="n"/>
      <c r="V47" s="901" t="n"/>
      <c r="W47" s="902" t="n"/>
      <c r="X47" s="903" t="n"/>
      <c r="Y47" s="904" t="n"/>
      <c r="Z47" s="904" t="n"/>
      <c r="AA47" s="905" t="n"/>
      <c r="AB47" s="906" t="n"/>
      <c r="AC47" s="904" t="n"/>
      <c r="AD47" s="904" t="n"/>
      <c r="AE47" s="479" t="n"/>
      <c r="AF47" s="907" t="n"/>
    </row>
    <row r="48" ht="20.1" customHeight="1" s="744">
      <c r="B48" s="785" t="n"/>
      <c r="C48" s="174" t="inlineStr">
        <is>
          <t>QS-QST01M_WH</t>
        </is>
      </c>
      <c r="D48" s="44" t="inlineStr">
        <is>
          <t>리큐엠 셀카봉-QST01M미니_화이트</t>
        </is>
      </c>
      <c r="E48" s="830" t="n">
        <v>50</v>
      </c>
      <c r="F48" s="908" t="n"/>
      <c r="G48" s="832" t="n"/>
      <c r="H48" s="833" t="n"/>
      <c r="I48" s="834" t="n"/>
      <c r="J48" s="834" t="n"/>
      <c r="K48" s="182" t="n"/>
      <c r="L48" s="853" t="n"/>
      <c r="M48" s="854" t="n"/>
      <c r="N48" s="854" t="n"/>
      <c r="O48" s="854" t="n"/>
      <c r="P48" s="854" t="n"/>
      <c r="Q48" s="855" t="n"/>
      <c r="R48" s="838" t="n"/>
      <c r="S48" s="839" t="n"/>
      <c r="T48" s="856" t="n"/>
      <c r="U48" s="841" t="n"/>
      <c r="V48" s="858" t="n"/>
      <c r="W48" s="909" t="n"/>
      <c r="X48" s="844" t="n"/>
      <c r="Y48" s="845" t="n"/>
      <c r="Z48" s="845" t="n"/>
      <c r="AA48" s="846" t="n"/>
      <c r="AB48" s="847" t="n"/>
      <c r="AC48" s="845" t="n"/>
      <c r="AD48" s="845" t="n"/>
      <c r="AE48" s="310" t="n"/>
      <c r="AF48" s="910" t="n"/>
    </row>
    <row r="49" ht="20.1" customHeight="1" s="744" thickBot="1">
      <c r="B49" s="757" t="n"/>
      <c r="C49" s="47" t="inlineStr">
        <is>
          <t>QMS-QMS01_BK</t>
        </is>
      </c>
      <c r="D49" s="71" t="inlineStr">
        <is>
          <t>리큐엠 맥세이프 셀카봉-QMS01_블랙</t>
        </is>
      </c>
      <c r="E49" s="911" t="n">
        <v>30</v>
      </c>
      <c r="F49" s="912" t="n"/>
      <c r="G49" s="913" t="n"/>
      <c r="H49" s="914" t="n"/>
      <c r="I49" s="915" t="n"/>
      <c r="J49" s="915" t="n"/>
      <c r="K49" s="178" t="n"/>
      <c r="L49" s="916" t="n"/>
      <c r="M49" s="917" t="n"/>
      <c r="N49" s="917" t="n"/>
      <c r="O49" s="917" t="n"/>
      <c r="P49" s="917" t="n"/>
      <c r="Q49" s="918" t="n"/>
      <c r="R49" s="919" t="n"/>
      <c r="S49" s="920" t="n"/>
      <c r="T49" s="921" t="n"/>
      <c r="U49" s="922" t="n"/>
      <c r="V49" s="923" t="n"/>
      <c r="W49" s="924" t="n"/>
      <c r="X49" s="925" t="n"/>
      <c r="Y49" s="926" t="n"/>
      <c r="Z49" s="926" t="n"/>
      <c r="AA49" s="927" t="n"/>
      <c r="AB49" s="928" t="n"/>
      <c r="AC49" s="926" t="n"/>
      <c r="AD49" s="926" t="n"/>
      <c r="AE49" s="57" t="n"/>
      <c r="AF49" s="929" t="n"/>
    </row>
    <row r="50" ht="20.1" customHeight="1" s="744">
      <c r="B50" s="645" t="inlineStr">
        <is>
          <t>가정용충전기</t>
        </is>
      </c>
      <c r="C50" s="58" t="inlineStr">
        <is>
          <t>QPD-330_SGY</t>
        </is>
      </c>
      <c r="D50" s="58" t="inlineStr">
        <is>
          <t>리큐엠 가정용 충전기-QPD-330_솔리드그레이</t>
        </is>
      </c>
      <c r="E50" s="786" t="n">
        <v>100</v>
      </c>
      <c r="F50" s="787" t="n"/>
      <c r="G50" s="788" t="n"/>
      <c r="H50" s="789" t="n"/>
      <c r="I50" s="790" t="n"/>
      <c r="J50" s="790" t="n"/>
      <c r="K50" s="171" t="n"/>
      <c r="L50" s="791" t="n"/>
      <c r="M50" s="792" t="n"/>
      <c r="N50" s="792" t="n"/>
      <c r="O50" s="792" t="n"/>
      <c r="P50" s="792" t="n"/>
      <c r="Q50" s="793" t="n"/>
      <c r="R50" s="794" t="n"/>
      <c r="S50" s="795" t="n"/>
      <c r="T50" s="796" t="n"/>
      <c r="U50" s="813" t="n"/>
      <c r="V50" s="798" t="n"/>
      <c r="W50" s="793" t="n"/>
      <c r="X50" s="804" t="n"/>
      <c r="Y50" s="805" t="n"/>
      <c r="Z50" s="805" t="n"/>
      <c r="AA50" s="806" t="n"/>
      <c r="AB50" s="807" t="n"/>
      <c r="AC50" s="805" t="n"/>
      <c r="AD50" s="805" t="n"/>
      <c r="AE50" s="39" t="n"/>
      <c r="AF50" s="803" t="n"/>
    </row>
    <row r="51" ht="20.1" customHeight="1" s="744">
      <c r="B51" s="785" t="n"/>
      <c r="C51" s="58" t="inlineStr">
        <is>
          <t>QPD-330_WH</t>
        </is>
      </c>
      <c r="D51" s="58" t="inlineStr">
        <is>
          <t>리큐엠 가정용 충전기-QPD-330_화이트</t>
        </is>
      </c>
      <c r="E51" s="786" t="n">
        <v>100</v>
      </c>
      <c r="F51" s="787" t="n"/>
      <c r="G51" s="788" t="n"/>
      <c r="H51" s="789" t="n"/>
      <c r="I51" s="790" t="n"/>
      <c r="J51" s="790" t="n"/>
      <c r="K51" s="171" t="n"/>
      <c r="L51" s="791" t="n"/>
      <c r="M51" s="792" t="n"/>
      <c r="N51" s="792" t="n"/>
      <c r="O51" s="792" t="n"/>
      <c r="P51" s="792" t="n"/>
      <c r="Q51" s="793" t="n"/>
      <c r="R51" s="794" t="n"/>
      <c r="S51" s="795" t="n"/>
      <c r="T51" s="796" t="n"/>
      <c r="U51" s="813" t="n"/>
      <c r="V51" s="798" t="n"/>
      <c r="W51" s="793" t="n"/>
      <c r="X51" s="804" t="n"/>
      <c r="Y51" s="805" t="n"/>
      <c r="Z51" s="805" t="n"/>
      <c r="AA51" s="806" t="n"/>
      <c r="AB51" s="807" t="n"/>
      <c r="AC51" s="805" t="n"/>
      <c r="AD51" s="805" t="n"/>
      <c r="AE51" s="39" t="n"/>
      <c r="AF51" s="803" t="n"/>
    </row>
    <row r="52" ht="20.1" customHeight="1" s="744">
      <c r="B52" s="785" t="n"/>
      <c r="C52" s="58" t="inlineStr">
        <is>
          <t>QPD-330_BL</t>
        </is>
      </c>
      <c r="D52" s="58" t="inlineStr">
        <is>
          <t>리큐엠 가정용 충전기-QPD-330_블루</t>
        </is>
      </c>
      <c r="E52" s="786" t="n">
        <v>100</v>
      </c>
      <c r="F52" s="787" t="n"/>
      <c r="G52" s="788" t="n"/>
      <c r="H52" s="789" t="n"/>
      <c r="I52" s="790" t="n"/>
      <c r="J52" s="790" t="n"/>
      <c r="K52" s="171" t="n"/>
      <c r="L52" s="791" t="n"/>
      <c r="M52" s="792" t="n"/>
      <c r="N52" s="792" t="n"/>
      <c r="O52" s="792" t="n"/>
      <c r="P52" s="792" t="n"/>
      <c r="Q52" s="793" t="n"/>
      <c r="R52" s="794" t="n"/>
      <c r="S52" s="795" t="n"/>
      <c r="T52" s="796" t="n"/>
      <c r="U52" s="813" t="n"/>
      <c r="V52" s="798" t="n"/>
      <c r="W52" s="793" t="n"/>
      <c r="X52" s="804" t="n"/>
      <c r="Y52" s="805" t="n"/>
      <c r="Z52" s="805" t="n"/>
      <c r="AA52" s="806" t="n"/>
      <c r="AB52" s="807" t="n"/>
      <c r="AC52" s="805" t="n"/>
      <c r="AD52" s="805" t="n"/>
      <c r="AE52" s="39" t="n"/>
      <c r="AF52" s="803" t="n"/>
    </row>
    <row r="53" ht="20.1" customHeight="1" s="744">
      <c r="B53" s="785" t="n"/>
      <c r="C53" s="58" t="inlineStr">
        <is>
          <t>QPD-330_PK</t>
        </is>
      </c>
      <c r="D53" s="58" t="inlineStr">
        <is>
          <t>리큐엠 가정용 충전기-QPD-330_핑크</t>
        </is>
      </c>
      <c r="E53" s="786" t="n">
        <v>100</v>
      </c>
      <c r="F53" s="787" t="n"/>
      <c r="G53" s="788" t="n"/>
      <c r="H53" s="789" t="n"/>
      <c r="I53" s="790" t="n"/>
      <c r="J53" s="790" t="n"/>
      <c r="K53" s="171" t="n"/>
      <c r="L53" s="791" t="n"/>
      <c r="M53" s="792" t="n"/>
      <c r="N53" s="792" t="n"/>
      <c r="O53" s="792" t="n"/>
      <c r="P53" s="792" t="n"/>
      <c r="Q53" s="793" t="n"/>
      <c r="R53" s="794" t="n"/>
      <c r="S53" s="795" t="n"/>
      <c r="T53" s="796" t="n"/>
      <c r="U53" s="813" t="n"/>
      <c r="V53" s="798" t="n"/>
      <c r="W53" s="793" t="n"/>
      <c r="X53" s="804" t="n"/>
      <c r="Y53" s="805" t="n"/>
      <c r="Z53" s="805" t="n"/>
      <c r="AA53" s="806" t="n"/>
      <c r="AB53" s="807" t="n"/>
      <c r="AC53" s="805" t="n"/>
      <c r="AD53" s="805" t="n"/>
      <c r="AE53" s="39" t="n"/>
      <c r="AF53" s="803" t="n"/>
    </row>
    <row r="54" ht="20.1" customHeight="1" s="744">
      <c r="B54" s="785" t="n"/>
      <c r="C54" s="174" t="inlineStr">
        <is>
          <t>QPD-365N_GY</t>
        </is>
      </c>
      <c r="D54" s="174" t="inlineStr">
        <is>
          <t>리큐엠 가정용 충전기-QPD-365N_그레이</t>
        </is>
      </c>
      <c r="E54" s="830" t="n">
        <v>50</v>
      </c>
      <c r="F54" s="831" t="n"/>
      <c r="G54" s="832" t="n"/>
      <c r="H54" s="833" t="n"/>
      <c r="I54" s="834" t="n"/>
      <c r="J54" s="834" t="n"/>
      <c r="K54" s="182" t="n"/>
      <c r="L54" s="853" t="n"/>
      <c r="M54" s="854" t="n"/>
      <c r="N54" s="854" t="n"/>
      <c r="O54" s="854" t="n"/>
      <c r="P54" s="854" t="n"/>
      <c r="Q54" s="855" t="n"/>
      <c r="R54" s="838" t="n"/>
      <c r="S54" s="839" t="n"/>
      <c r="T54" s="856" t="n"/>
      <c r="U54" s="841" t="n"/>
      <c r="V54" s="858" t="n"/>
      <c r="W54" s="855" t="n"/>
      <c r="X54" s="889" t="n"/>
      <c r="Y54" s="890" t="n"/>
      <c r="Z54" s="890" t="n"/>
      <c r="AA54" s="891" t="n"/>
      <c r="AB54" s="889" t="n"/>
      <c r="AC54" s="890" t="n"/>
      <c r="AD54" s="890" t="n"/>
      <c r="AE54" s="489" t="n"/>
      <c r="AF54" s="859" t="n"/>
    </row>
    <row r="55" ht="20.1" customHeight="1" s="744">
      <c r="B55" s="785" t="n"/>
      <c r="C55" s="174" t="inlineStr">
        <is>
          <t>QPD-365N_WH</t>
        </is>
      </c>
      <c r="D55" s="174" t="inlineStr">
        <is>
          <t>리큐엠 가정용 충전기-QPD-365N_화이트</t>
        </is>
      </c>
      <c r="E55" s="830" t="n">
        <v>50</v>
      </c>
      <c r="F55" s="831" t="n"/>
      <c r="G55" s="832" t="n"/>
      <c r="H55" s="833" t="n"/>
      <c r="I55" s="834" t="n"/>
      <c r="J55" s="834" t="n"/>
      <c r="K55" s="182" t="n"/>
      <c r="L55" s="853" t="n"/>
      <c r="M55" s="854" t="n"/>
      <c r="N55" s="854" t="n"/>
      <c r="O55" s="854" t="n"/>
      <c r="P55" s="854" t="n"/>
      <c r="Q55" s="855" t="n"/>
      <c r="R55" s="838" t="n"/>
      <c r="S55" s="839" t="n"/>
      <c r="T55" s="856" t="n"/>
      <c r="U55" s="841" t="n"/>
      <c r="V55" s="858" t="n"/>
      <c r="W55" s="855" t="n"/>
      <c r="X55" s="844" t="n"/>
      <c r="Y55" s="845" t="n"/>
      <c r="Z55" s="845" t="n"/>
      <c r="AA55" s="846" t="n"/>
      <c r="AB55" s="847" t="n"/>
      <c r="AC55" s="845" t="n"/>
      <c r="AD55" s="845" t="n"/>
      <c r="AE55" s="310" t="n"/>
      <c r="AF55" s="859" t="n"/>
    </row>
    <row r="56" ht="20.1" customHeight="1" s="744">
      <c r="B56" s="785" t="n"/>
      <c r="C56" s="174" t="inlineStr">
        <is>
          <t>QPD-365NP_GY</t>
        </is>
      </c>
      <c r="D56" s="174" t="inlineStr">
        <is>
          <t>리큐엠 가정용 충전기-QPD-365NP_그레이</t>
        </is>
      </c>
      <c r="E56" s="830" t="n">
        <v>50</v>
      </c>
      <c r="F56" s="831" t="n"/>
      <c r="G56" s="832" t="n"/>
      <c r="H56" s="833" t="n"/>
      <c r="I56" s="834" t="n"/>
      <c r="J56" s="834" t="n"/>
      <c r="K56" s="182" t="n"/>
      <c r="L56" s="853" t="n"/>
      <c r="M56" s="854" t="n"/>
      <c r="N56" s="854" t="n"/>
      <c r="O56" s="854" t="n"/>
      <c r="P56" s="854" t="n"/>
      <c r="Q56" s="855" t="n"/>
      <c r="R56" s="838" t="n"/>
      <c r="S56" s="839" t="n"/>
      <c r="T56" s="856" t="n"/>
      <c r="U56" s="841" t="n"/>
      <c r="V56" s="858" t="n"/>
      <c r="W56" s="855" t="n"/>
      <c r="X56" s="849" t="n"/>
      <c r="Y56" s="850" t="n"/>
      <c r="Z56" s="850" t="n"/>
      <c r="AA56" s="851" t="n"/>
      <c r="AB56" s="852" t="n"/>
      <c r="AC56" s="850" t="n"/>
      <c r="AD56" s="850" t="n"/>
      <c r="AE56" s="292" t="n"/>
      <c r="AF56" s="859" t="n"/>
    </row>
    <row r="57" ht="20.1" customHeight="1" s="744">
      <c r="B57" s="785" t="n"/>
      <c r="C57" s="174" t="inlineStr">
        <is>
          <t>QPD-365NP_WH</t>
        </is>
      </c>
      <c r="D57" s="174" t="inlineStr">
        <is>
          <t>리큐엠 가정용 충전기-QPD-365NP_화이트</t>
        </is>
      </c>
      <c r="E57" s="830" t="n">
        <v>50</v>
      </c>
      <c r="F57" s="831" t="n"/>
      <c r="G57" s="832" t="n"/>
      <c r="H57" s="833" t="n"/>
      <c r="I57" s="834" t="n"/>
      <c r="J57" s="834" t="n"/>
      <c r="K57" s="182" t="n"/>
      <c r="L57" s="853" t="n"/>
      <c r="M57" s="854" t="n"/>
      <c r="N57" s="854" t="n"/>
      <c r="O57" s="854" t="n"/>
      <c r="P57" s="854" t="n"/>
      <c r="Q57" s="855" t="n"/>
      <c r="R57" s="838" t="n"/>
      <c r="S57" s="839" t="n"/>
      <c r="T57" s="856" t="n"/>
      <c r="U57" s="841" t="n"/>
      <c r="V57" s="858" t="n"/>
      <c r="W57" s="855" t="n"/>
      <c r="X57" s="849" t="n"/>
      <c r="Y57" s="850" t="n"/>
      <c r="Z57" s="850" t="n"/>
      <c r="AA57" s="851" t="n"/>
      <c r="AB57" s="852" t="n"/>
      <c r="AC57" s="850" t="n"/>
      <c r="AD57" s="850" t="n"/>
      <c r="AE57" s="292" t="n"/>
      <c r="AF57" s="859" t="n"/>
    </row>
    <row r="58" ht="20.1" customHeight="1" s="744">
      <c r="B58" s="785" t="n"/>
      <c r="C58" s="174" t="inlineStr">
        <is>
          <t>QTC-45W_BK</t>
        </is>
      </c>
      <c r="D58" s="174" t="inlineStr">
        <is>
          <t>리큐엠 45W 여행용 충전기_블랙</t>
        </is>
      </c>
      <c r="E58" s="830" t="n">
        <v>30</v>
      </c>
      <c r="F58" s="831" t="n"/>
      <c r="G58" s="832" t="n"/>
      <c r="H58" s="833" t="n"/>
      <c r="I58" s="834" t="n"/>
      <c r="J58" s="834" t="n"/>
      <c r="K58" s="182" t="n"/>
      <c r="L58" s="853" t="n"/>
      <c r="M58" s="854" t="n"/>
      <c r="N58" s="854" t="n"/>
      <c r="O58" s="854" t="n"/>
      <c r="P58" s="854" t="n"/>
      <c r="Q58" s="855" t="n"/>
      <c r="R58" s="838" t="n"/>
      <c r="S58" s="839" t="n"/>
      <c r="T58" s="856" t="n"/>
      <c r="U58" s="841" t="n"/>
      <c r="V58" s="858" t="n"/>
      <c r="W58" s="855" t="n"/>
      <c r="X58" s="849" t="n"/>
      <c r="Y58" s="850" t="n"/>
      <c r="Z58" s="850" t="n"/>
      <c r="AA58" s="851" t="n"/>
      <c r="AB58" s="852" t="n"/>
      <c r="AC58" s="850" t="n"/>
      <c r="AD58" s="850" t="n"/>
      <c r="AE58" s="292" t="n"/>
      <c r="AF58" s="859" t="n"/>
    </row>
    <row r="59" ht="20.1" customHeight="1" s="744" thickBot="1">
      <c r="B59" s="785" t="n"/>
      <c r="C59" s="174" t="inlineStr">
        <is>
          <t>QTC-45W_WH</t>
        </is>
      </c>
      <c r="D59" s="174" t="inlineStr">
        <is>
          <t>리큐엠 45W 여행용 충전기_화이트</t>
        </is>
      </c>
      <c r="E59" s="830" t="n">
        <v>30</v>
      </c>
      <c r="F59" s="831" t="n"/>
      <c r="G59" s="832" t="n"/>
      <c r="H59" s="833" t="n"/>
      <c r="I59" s="834" t="n"/>
      <c r="J59" s="834" t="n"/>
      <c r="K59" s="182" t="n"/>
      <c r="L59" s="853" t="n"/>
      <c r="M59" s="854" t="n"/>
      <c r="N59" s="854" t="n"/>
      <c r="O59" s="854" t="n"/>
      <c r="P59" s="854" t="n"/>
      <c r="Q59" s="855" t="n"/>
      <c r="R59" s="838" t="n"/>
      <c r="S59" s="839" t="n"/>
      <c r="T59" s="856" t="n"/>
      <c r="U59" s="841" t="n"/>
      <c r="V59" s="858" t="n"/>
      <c r="W59" s="855" t="n"/>
      <c r="X59" s="849" t="n"/>
      <c r="Y59" s="850" t="n"/>
      <c r="Z59" s="850" t="n"/>
      <c r="AA59" s="851" t="n"/>
      <c r="AB59" s="852" t="n"/>
      <c r="AC59" s="850" t="n"/>
      <c r="AD59" s="850" t="n"/>
      <c r="AE59" s="292" t="n"/>
      <c r="AF59" s="859" t="n"/>
    </row>
    <row r="60" ht="20.1" customHeight="1" s="744">
      <c r="B60" s="860" t="inlineStr">
        <is>
          <t>케이블</t>
        </is>
      </c>
      <c r="C60" s="186" t="inlineStr">
        <is>
          <t>RQM-CC150-CK-BL</t>
        </is>
      </c>
      <c r="D60" s="299" t="inlineStr">
        <is>
          <t>[리큐엠]C.class K-CC150-실리콘케이블 블루(100W)</t>
        </is>
      </c>
      <c r="E60" s="766" t="n">
        <v>100</v>
      </c>
      <c r="F60" s="767" t="n"/>
      <c r="G60" s="768" t="n"/>
      <c r="H60" s="769" t="n"/>
      <c r="I60" s="770" t="n"/>
      <c r="J60" s="770" t="n"/>
      <c r="K60" s="190" t="n"/>
      <c r="L60" s="771" t="n"/>
      <c r="M60" s="772" t="n"/>
      <c r="N60" s="772" t="n"/>
      <c r="O60" s="772" t="n"/>
      <c r="P60" s="772" t="n"/>
      <c r="Q60" s="773" t="n"/>
      <c r="R60" s="774" t="n"/>
      <c r="S60" s="775" t="n"/>
      <c r="T60" s="930" t="n"/>
      <c r="U60" s="931" t="n"/>
      <c r="V60" s="778" t="n"/>
      <c r="W60" s="773" t="n"/>
      <c r="X60" s="868" t="n"/>
      <c r="Y60" s="866" t="n"/>
      <c r="Z60" s="866" t="n"/>
      <c r="AA60" s="867" t="n"/>
      <c r="AB60" s="868" t="n"/>
      <c r="AC60" s="866" t="n"/>
      <c r="AD60" s="866" t="n"/>
      <c r="AE60" s="302" t="n"/>
      <c r="AF60" s="783" t="n"/>
    </row>
    <row r="61" ht="20.1" customHeight="1" s="744">
      <c r="B61" s="785" t="n"/>
      <c r="C61" s="58" t="inlineStr">
        <is>
          <t>RQM-CC150-CK-PK</t>
        </is>
      </c>
      <c r="D61" s="43" t="inlineStr">
        <is>
          <t>[리큐엠]C.class K-CC150-실리콘케이블 핑크(100W)</t>
        </is>
      </c>
      <c r="E61" s="786" t="n">
        <v>100</v>
      </c>
      <c r="F61" s="787" t="n"/>
      <c r="G61" s="788" t="n"/>
      <c r="H61" s="789" t="n"/>
      <c r="I61" s="790" t="n"/>
      <c r="J61" s="790" t="n"/>
      <c r="K61" s="171" t="n"/>
      <c r="L61" s="791" t="n"/>
      <c r="M61" s="792" t="n"/>
      <c r="N61" s="792" t="n"/>
      <c r="O61" s="792" t="n"/>
      <c r="P61" s="792" t="n"/>
      <c r="Q61" s="793" t="n"/>
      <c r="R61" s="794" t="n"/>
      <c r="S61" s="795" t="n"/>
      <c r="T61" s="932" t="n"/>
      <c r="U61" s="813" t="n"/>
      <c r="V61" s="798" t="n"/>
      <c r="W61" s="793" t="n"/>
      <c r="X61" s="807" t="n"/>
      <c r="Y61" s="805" t="n"/>
      <c r="Z61" s="805" t="n"/>
      <c r="AA61" s="806" t="n"/>
      <c r="AB61" s="807" t="n"/>
      <c r="AC61" s="805" t="n"/>
      <c r="AD61" s="805" t="n"/>
      <c r="AE61" s="39" t="n"/>
      <c r="AF61" s="803" t="n"/>
    </row>
    <row r="62" ht="20.1" customHeight="1" s="744">
      <c r="B62" s="785" t="n"/>
      <c r="C62" s="58" t="inlineStr">
        <is>
          <t>RQM-MFICA150-CS</t>
        </is>
      </c>
      <c r="D62" s="43" t="inlineStr">
        <is>
          <t>[리큐엠]MFI-CA150-실리콘케이블 화이트(60W) [1.5M]</t>
        </is>
      </c>
      <c r="E62" s="786" t="n">
        <v>100</v>
      </c>
      <c r="F62" s="787" t="n"/>
      <c r="G62" s="788" t="n"/>
      <c r="H62" s="789" t="n"/>
      <c r="I62" s="790" t="n"/>
      <c r="J62" s="790" t="n"/>
      <c r="K62" s="171" t="n"/>
      <c r="L62" s="791" t="n"/>
      <c r="M62" s="792" t="n"/>
      <c r="N62" s="792" t="n"/>
      <c r="O62" s="792" t="n"/>
      <c r="P62" s="792" t="n"/>
      <c r="Q62" s="793" t="n"/>
      <c r="R62" s="794" t="n"/>
      <c r="S62" s="795" t="n"/>
      <c r="T62" s="932" t="n"/>
      <c r="U62" s="813" t="n"/>
      <c r="V62" s="798" t="n"/>
      <c r="W62" s="793" t="n"/>
      <c r="X62" s="807" t="n"/>
      <c r="Y62" s="805" t="n"/>
      <c r="Z62" s="805" t="n"/>
      <c r="AA62" s="806" t="n"/>
      <c r="AB62" s="807" t="n"/>
      <c r="AC62" s="805" t="n"/>
      <c r="AD62" s="805" t="n"/>
      <c r="AE62" s="39" t="n"/>
      <c r="AF62" s="803" t="n"/>
    </row>
    <row r="63" ht="20.1" customHeight="1" s="744">
      <c r="B63" s="785" t="n"/>
      <c r="C63" s="58" t="inlineStr">
        <is>
          <t>QCB-CC30S_Butter</t>
        </is>
      </c>
      <c r="D63" s="43" t="inlineStr">
        <is>
          <t>리큐엠 케이블-CC30S_버터</t>
        </is>
      </c>
      <c r="E63" s="786" t="n">
        <v>190</v>
      </c>
      <c r="F63" s="787" t="n"/>
      <c r="G63" s="788" t="n"/>
      <c r="H63" s="789" t="n"/>
      <c r="I63" s="790" t="n"/>
      <c r="J63" s="790" t="n"/>
      <c r="K63" s="171" t="n"/>
      <c r="L63" s="791" t="n"/>
      <c r="M63" s="792" t="n"/>
      <c r="N63" s="792" t="n"/>
      <c r="O63" s="792" t="n"/>
      <c r="P63" s="792" t="n"/>
      <c r="Q63" s="793" t="n"/>
      <c r="R63" s="794" t="n"/>
      <c r="S63" s="795" t="n"/>
      <c r="T63" s="796" t="n"/>
      <c r="U63" s="813" t="n"/>
      <c r="V63" s="798" t="n"/>
      <c r="W63" s="793" t="n"/>
      <c r="X63" s="807" t="n"/>
      <c r="Y63" s="805" t="n"/>
      <c r="Z63" s="805" t="n"/>
      <c r="AA63" s="806" t="n"/>
      <c r="AB63" s="807" t="n"/>
      <c r="AC63" s="805" t="n"/>
      <c r="AD63" s="805" t="n"/>
      <c r="AE63" s="39" t="n"/>
      <c r="AF63" s="803" t="n"/>
    </row>
    <row r="64" ht="20.1" customHeight="1" s="744">
      <c r="B64" s="785" t="n"/>
      <c r="C64" s="58" t="inlineStr">
        <is>
          <t>QCB-CC30S_Carrot</t>
        </is>
      </c>
      <c r="D64" s="43" t="inlineStr">
        <is>
          <t>리큐엠 케이블-CC30S_캐롯</t>
        </is>
      </c>
      <c r="E64" s="786" t="n">
        <v>190</v>
      </c>
      <c r="F64" s="787" t="n"/>
      <c r="G64" s="788" t="n"/>
      <c r="H64" s="789" t="n"/>
      <c r="I64" s="790" t="n"/>
      <c r="J64" s="790" t="n"/>
      <c r="K64" s="171" t="n"/>
      <c r="L64" s="791" t="n"/>
      <c r="M64" s="792" t="n"/>
      <c r="N64" s="792" t="n"/>
      <c r="O64" s="792" t="n"/>
      <c r="P64" s="792" t="n"/>
      <c r="Q64" s="793" t="n"/>
      <c r="R64" s="794" t="n"/>
      <c r="S64" s="795" t="n"/>
      <c r="T64" s="796" t="n"/>
      <c r="U64" s="813" t="n"/>
      <c r="V64" s="798" t="n"/>
      <c r="W64" s="793" t="n"/>
      <c r="X64" s="807" t="n"/>
      <c r="Y64" s="805" t="n"/>
      <c r="Z64" s="805" t="n"/>
      <c r="AA64" s="806" t="n"/>
      <c r="AB64" s="807" t="n"/>
      <c r="AC64" s="805" t="n"/>
      <c r="AD64" s="805" t="n"/>
      <c r="AE64" s="39" t="n"/>
      <c r="AF64" s="803" t="n"/>
    </row>
    <row r="65" ht="20.1" customHeight="1" s="744">
      <c r="B65" s="785" t="n"/>
      <c r="C65" s="58" t="inlineStr">
        <is>
          <t>QCB-CC30S_CobaltBlue</t>
        </is>
      </c>
      <c r="D65" s="43" t="inlineStr">
        <is>
          <t>리큐엠 케이블-CC30S_코발트블루</t>
        </is>
      </c>
      <c r="E65" s="786" t="n">
        <v>190</v>
      </c>
      <c r="F65" s="787" t="n"/>
      <c r="G65" s="788" t="n"/>
      <c r="H65" s="789" t="n"/>
      <c r="I65" s="790" t="n"/>
      <c r="J65" s="790" t="n"/>
      <c r="K65" s="171" t="n"/>
      <c r="L65" s="791" t="n"/>
      <c r="M65" s="792" t="n"/>
      <c r="N65" s="792" t="n"/>
      <c r="O65" s="792" t="n"/>
      <c r="P65" s="792" t="n"/>
      <c r="Q65" s="793" t="n"/>
      <c r="R65" s="794" t="n"/>
      <c r="S65" s="795" t="n"/>
      <c r="T65" s="796" t="n"/>
      <c r="U65" s="813" t="n"/>
      <c r="V65" s="798" t="n"/>
      <c r="W65" s="793" t="n"/>
      <c r="X65" s="807" t="n"/>
      <c r="Y65" s="805" t="n"/>
      <c r="Z65" s="805" t="n"/>
      <c r="AA65" s="806" t="n"/>
      <c r="AB65" s="807" t="n"/>
      <c r="AC65" s="805" t="n"/>
      <c r="AD65" s="805" t="n"/>
      <c r="AE65" s="39" t="n"/>
      <c r="AF65" s="803" t="n"/>
    </row>
    <row r="66" ht="20.1" customHeight="1" s="744">
      <c r="B66" s="785" t="n"/>
      <c r="C66" s="58" t="inlineStr">
        <is>
          <t>QCB-CC30S_NeonGreen</t>
        </is>
      </c>
      <c r="D66" s="43" t="inlineStr">
        <is>
          <t>리큐엠 케이블-CC30S_네온그린</t>
        </is>
      </c>
      <c r="E66" s="786" t="n">
        <v>190</v>
      </c>
      <c r="F66" s="787" t="n"/>
      <c r="G66" s="788" t="n"/>
      <c r="H66" s="789" t="n"/>
      <c r="I66" s="790" t="n"/>
      <c r="J66" s="790" t="n"/>
      <c r="K66" s="171" t="n"/>
      <c r="L66" s="791" t="n"/>
      <c r="M66" s="792" t="n"/>
      <c r="N66" s="792" t="n"/>
      <c r="O66" s="792" t="n"/>
      <c r="P66" s="792" t="n"/>
      <c r="Q66" s="793" t="n"/>
      <c r="R66" s="794" t="n"/>
      <c r="S66" s="795" t="n"/>
      <c r="T66" s="796" t="n"/>
      <c r="U66" s="813" t="n"/>
      <c r="V66" s="798" t="n"/>
      <c r="W66" s="793" t="n"/>
      <c r="X66" s="807" t="n"/>
      <c r="Y66" s="805" t="n"/>
      <c r="Z66" s="805" t="n"/>
      <c r="AA66" s="806" t="n"/>
      <c r="AB66" s="807" t="n"/>
      <c r="AC66" s="805" t="n"/>
      <c r="AD66" s="805" t="n"/>
      <c r="AE66" s="39" t="n"/>
      <c r="AF66" s="803" t="n"/>
    </row>
    <row r="67" ht="20.1" customFormat="1" customHeight="1" s="717">
      <c r="B67" s="785" t="n"/>
      <c r="C67" s="698" t="inlineStr">
        <is>
          <t>QCB-CC30S_Lavender</t>
        </is>
      </c>
      <c r="D67" s="699" t="inlineStr">
        <is>
          <t>리큐엠 케이블-CC30S_라벤더</t>
        </is>
      </c>
      <c r="E67" s="933" t="n">
        <v>190</v>
      </c>
      <c r="F67" s="934" t="n"/>
      <c r="G67" s="935" t="n"/>
      <c r="H67" s="936" t="n"/>
      <c r="I67" s="937" t="n"/>
      <c r="J67" s="937" t="n"/>
      <c r="K67" s="705" t="n"/>
      <c r="L67" s="791" t="n"/>
      <c r="M67" s="792" t="n"/>
      <c r="N67" s="792" t="n"/>
      <c r="O67" s="792" t="n"/>
      <c r="P67" s="792" t="n"/>
      <c r="Q67" s="793" t="n"/>
      <c r="R67" s="938" t="n"/>
      <c r="S67" s="939" t="n"/>
      <c r="T67" s="796" t="n"/>
      <c r="U67" s="813" t="n"/>
      <c r="V67" s="798" t="n"/>
      <c r="W67" s="793" t="n"/>
      <c r="X67" s="940" t="n"/>
      <c r="Y67" s="941" t="n"/>
      <c r="Z67" s="941" t="n"/>
      <c r="AA67" s="942" t="n"/>
      <c r="AB67" s="940" t="n"/>
      <c r="AC67" s="941" t="n"/>
      <c r="AD67" s="941" t="n"/>
      <c r="AE67" s="715" t="n"/>
      <c r="AF67" s="803" t="n"/>
    </row>
    <row r="68" ht="20.1" customHeight="1" s="744">
      <c r="B68" s="785" t="n"/>
      <c r="C68" s="58" t="inlineStr">
        <is>
          <t>QCB-CC60S_Butter</t>
        </is>
      </c>
      <c r="D68" s="43" t="inlineStr">
        <is>
          <t>리큐엠 케이블-CC60S_버터</t>
        </is>
      </c>
      <c r="E68" s="786" t="n">
        <v>190</v>
      </c>
      <c r="F68" s="787" t="n"/>
      <c r="G68" s="788" t="n"/>
      <c r="H68" s="789" t="n"/>
      <c r="I68" s="790" t="n"/>
      <c r="J68" s="790" t="n"/>
      <c r="K68" s="171" t="n"/>
      <c r="L68" s="791" t="n"/>
      <c r="M68" s="792" t="n"/>
      <c r="N68" s="792" t="n"/>
      <c r="O68" s="792" t="n"/>
      <c r="P68" s="792" t="n"/>
      <c r="Q68" s="793" t="n"/>
      <c r="R68" s="794" t="n"/>
      <c r="S68" s="795" t="n"/>
      <c r="T68" s="796" t="n"/>
      <c r="U68" s="813" t="n"/>
      <c r="V68" s="798" t="n"/>
      <c r="W68" s="793" t="n"/>
      <c r="X68" s="807" t="n"/>
      <c r="Y68" s="805" t="n"/>
      <c r="Z68" s="805" t="n"/>
      <c r="AA68" s="806" t="n"/>
      <c r="AB68" s="807" t="n"/>
      <c r="AC68" s="805" t="n"/>
      <c r="AD68" s="805" t="n"/>
      <c r="AE68" s="39" t="n"/>
      <c r="AF68" s="803" t="n"/>
    </row>
    <row r="69" ht="20.1" customHeight="1" s="744">
      <c r="B69" s="785" t="n"/>
      <c r="C69" s="58" t="inlineStr">
        <is>
          <t>QCB-CC60S_Carrot</t>
        </is>
      </c>
      <c r="D69" s="43" t="inlineStr">
        <is>
          <t>리큐엠 케이블-CC60S_캐롯</t>
        </is>
      </c>
      <c r="E69" s="786" t="n">
        <v>190</v>
      </c>
      <c r="F69" s="787" t="n"/>
      <c r="G69" s="788" t="n"/>
      <c r="H69" s="789" t="n"/>
      <c r="I69" s="790" t="n"/>
      <c r="J69" s="790" t="n"/>
      <c r="K69" s="171" t="n"/>
      <c r="L69" s="791" t="n"/>
      <c r="M69" s="792" t="n"/>
      <c r="N69" s="792" t="n"/>
      <c r="O69" s="792" t="n"/>
      <c r="P69" s="792" t="n"/>
      <c r="Q69" s="793" t="n"/>
      <c r="R69" s="794" t="n"/>
      <c r="S69" s="795" t="n"/>
      <c r="T69" s="796" t="n"/>
      <c r="U69" s="813" t="n"/>
      <c r="V69" s="798" t="n"/>
      <c r="W69" s="793" t="n"/>
      <c r="X69" s="807" t="n"/>
      <c r="Y69" s="805" t="n"/>
      <c r="Z69" s="805" t="n"/>
      <c r="AA69" s="806" t="n"/>
      <c r="AB69" s="807" t="n"/>
      <c r="AC69" s="805" t="n"/>
      <c r="AD69" s="805" t="n"/>
      <c r="AE69" s="39" t="n"/>
      <c r="AF69" s="803" t="n"/>
    </row>
    <row r="70" ht="20.1" customHeight="1" s="744">
      <c r="B70" s="785" t="n"/>
      <c r="C70" s="58" t="inlineStr">
        <is>
          <t>QCB-CC60S_CobaltBlue</t>
        </is>
      </c>
      <c r="D70" s="43" t="inlineStr">
        <is>
          <t>리큐엠 케이블-CC60S_코발트블루</t>
        </is>
      </c>
      <c r="E70" s="786" t="n">
        <v>190</v>
      </c>
      <c r="F70" s="787" t="n"/>
      <c r="G70" s="788" t="n"/>
      <c r="H70" s="789" t="n"/>
      <c r="I70" s="790" t="n"/>
      <c r="J70" s="790" t="n"/>
      <c r="K70" s="171" t="n"/>
      <c r="L70" s="791" t="n"/>
      <c r="M70" s="792" t="n"/>
      <c r="N70" s="792" t="n"/>
      <c r="O70" s="792" t="n"/>
      <c r="P70" s="792" t="n"/>
      <c r="Q70" s="793" t="n"/>
      <c r="R70" s="794" t="n"/>
      <c r="S70" s="795" t="n"/>
      <c r="T70" s="796" t="n"/>
      <c r="U70" s="813" t="n"/>
      <c r="V70" s="798" t="n"/>
      <c r="W70" s="793" t="n"/>
      <c r="X70" s="807" t="n"/>
      <c r="Y70" s="805" t="n"/>
      <c r="Z70" s="805" t="n"/>
      <c r="AA70" s="806" t="n"/>
      <c r="AB70" s="807" t="n"/>
      <c r="AC70" s="805" t="n"/>
      <c r="AD70" s="805" t="n"/>
      <c r="AE70" s="39" t="n"/>
      <c r="AF70" s="803" t="n"/>
    </row>
    <row r="71" ht="20.1" customHeight="1" s="744">
      <c r="B71" s="785" t="n"/>
      <c r="C71" s="58" t="inlineStr">
        <is>
          <t>QCB-CC60S_NeonGreen</t>
        </is>
      </c>
      <c r="D71" s="43" t="inlineStr">
        <is>
          <t>리큐엠 케이블-CC60S_네온그린</t>
        </is>
      </c>
      <c r="E71" s="786" t="n">
        <v>190</v>
      </c>
      <c r="F71" s="787" t="n"/>
      <c r="G71" s="788" t="n"/>
      <c r="H71" s="789" t="n"/>
      <c r="I71" s="790" t="n"/>
      <c r="J71" s="790" t="n"/>
      <c r="K71" s="171" t="n"/>
      <c r="L71" s="791" t="n"/>
      <c r="M71" s="792" t="n"/>
      <c r="N71" s="792" t="n"/>
      <c r="O71" s="792" t="n"/>
      <c r="P71" s="792" t="n"/>
      <c r="Q71" s="793" t="n"/>
      <c r="R71" s="794" t="n"/>
      <c r="S71" s="795" t="n"/>
      <c r="T71" s="796" t="n"/>
      <c r="U71" s="813" t="n"/>
      <c r="V71" s="798" t="n"/>
      <c r="W71" s="793" t="n"/>
      <c r="X71" s="807" t="n"/>
      <c r="Y71" s="805" t="n"/>
      <c r="Z71" s="805" t="n"/>
      <c r="AA71" s="806" t="n"/>
      <c r="AB71" s="807" t="n"/>
      <c r="AC71" s="805" t="n"/>
      <c r="AD71" s="805" t="n"/>
      <c r="AE71" s="39" t="n"/>
      <c r="AF71" s="803" t="n"/>
    </row>
    <row r="72" ht="20.1" customFormat="1" customHeight="1" s="717" thickBot="1">
      <c r="B72" s="757" t="n"/>
      <c r="C72" s="718" t="inlineStr">
        <is>
          <t>QCB-CC60S_Lavender</t>
        </is>
      </c>
      <c r="D72" s="719" t="inlineStr">
        <is>
          <t>리큐엠 케이블-CC60S_라벤더</t>
        </is>
      </c>
      <c r="E72" s="943" t="n">
        <v>190</v>
      </c>
      <c r="F72" s="944" t="n"/>
      <c r="G72" s="945" t="n"/>
      <c r="H72" s="946" t="n"/>
      <c r="I72" s="947" t="n"/>
      <c r="J72" s="947" t="n"/>
      <c r="K72" s="725" t="n"/>
      <c r="L72" s="948" t="n"/>
      <c r="M72" s="949" t="n"/>
      <c r="N72" s="949" t="n"/>
      <c r="O72" s="949" t="n"/>
      <c r="P72" s="949" t="n"/>
      <c r="Q72" s="950" t="n"/>
      <c r="R72" s="951" t="n"/>
      <c r="S72" s="952" t="n"/>
      <c r="T72" s="953" t="n"/>
      <c r="U72" s="954" t="n"/>
      <c r="V72" s="955" t="n"/>
      <c r="W72" s="950" t="n"/>
      <c r="X72" s="956" t="n"/>
      <c r="Y72" s="957" t="n"/>
      <c r="Z72" s="957" t="n"/>
      <c r="AA72" s="958" t="n"/>
      <c r="AB72" s="956" t="n"/>
      <c r="AC72" s="957" t="n"/>
      <c r="AD72" s="957" t="n"/>
      <c r="AE72" s="737" t="n"/>
      <c r="AF72" s="959" t="n"/>
    </row>
    <row r="73" ht="20.1" customHeight="1" s="744" thickBot="1">
      <c r="B73" s="89" t="inlineStr">
        <is>
          <t>살균기</t>
        </is>
      </c>
      <c r="C73" s="446" t="inlineStr">
        <is>
          <t>QWC-UV300-BK</t>
        </is>
      </c>
      <c r="D73" s="446" t="inlineStr">
        <is>
          <t>리큐엠-UV살균기 무선충전 시계_블랙</t>
        </is>
      </c>
      <c r="E73" s="960" t="n">
        <v>20</v>
      </c>
      <c r="F73" s="961" t="n"/>
      <c r="G73" s="962" t="n"/>
      <c r="H73" s="963" t="n"/>
      <c r="I73" s="964" t="n"/>
      <c r="J73" s="964" t="n"/>
      <c r="K73" s="451" t="n"/>
      <c r="L73" s="965" t="n"/>
      <c r="M73" s="966" t="n"/>
      <c r="N73" s="966" t="n"/>
      <c r="O73" s="966" t="n"/>
      <c r="P73" s="966" t="n"/>
      <c r="Q73" s="967" t="n"/>
      <c r="R73" s="968" t="n"/>
      <c r="S73" s="969" t="n"/>
      <c r="T73" s="970" t="n"/>
      <c r="U73" s="971" t="n"/>
      <c r="V73" s="972" t="n"/>
      <c r="W73" s="967" t="n"/>
      <c r="X73" s="973" t="n"/>
      <c r="Y73" s="974" t="n"/>
      <c r="Z73" s="974" t="n"/>
      <c r="AA73" s="962" t="n"/>
      <c r="AB73" s="973" t="n"/>
      <c r="AC73" s="974" t="n"/>
      <c r="AD73" s="974" t="n"/>
      <c r="AE73" s="462" t="n"/>
      <c r="AF73" s="975" t="n"/>
    </row>
    <row r="74" ht="20.1" customHeight="1" s="744">
      <c r="B74" s="860" t="inlineStr">
        <is>
          <t>랜턴</t>
        </is>
      </c>
      <c r="C74" s="194" t="inlineStr">
        <is>
          <t>VAUX-QCL100-레드</t>
        </is>
      </c>
      <c r="D74" s="194" t="inlineStr">
        <is>
          <t>VAUX_캠핑용 랜턴 QCL100_레드</t>
        </is>
      </c>
      <c r="E74" s="892" t="n">
        <v>15</v>
      </c>
      <c r="F74" s="976" t="n"/>
      <c r="G74" s="905" t="n"/>
      <c r="H74" s="862" t="n"/>
      <c r="I74" s="863" t="n"/>
      <c r="J74" s="863" t="n"/>
      <c r="K74" s="185" t="n"/>
      <c r="L74" s="895" t="n"/>
      <c r="M74" s="896" t="n"/>
      <c r="N74" s="896" t="n"/>
      <c r="O74" s="896" t="n"/>
      <c r="P74" s="896" t="n"/>
      <c r="Q74" s="897" t="n"/>
      <c r="R74" s="898" t="n"/>
      <c r="S74" s="899" t="n"/>
      <c r="T74" s="864" t="n"/>
      <c r="U74" s="977" t="n"/>
      <c r="V74" s="901" t="n"/>
      <c r="W74" s="897" t="n"/>
      <c r="X74" s="906" t="n"/>
      <c r="Y74" s="904" t="n"/>
      <c r="Z74" s="904" t="n"/>
      <c r="AA74" s="905" t="n"/>
      <c r="AB74" s="906" t="n"/>
      <c r="AC74" s="904" t="n"/>
      <c r="AD74" s="904" t="n"/>
      <c r="AE74" s="479" t="n"/>
      <c r="AF74" s="978" t="n"/>
    </row>
    <row r="75" ht="20.1" customHeight="1" s="744">
      <c r="B75" s="785" t="n"/>
      <c r="C75" s="58" t="inlineStr">
        <is>
          <t>VAUX-QCL100-블랙</t>
        </is>
      </c>
      <c r="D75" s="43" t="inlineStr">
        <is>
          <t>VAUX_캠핑용 랜턴 QCL100 블랙</t>
        </is>
      </c>
      <c r="E75" s="786" t="n">
        <v>15</v>
      </c>
      <c r="F75" s="979" t="n"/>
      <c r="G75" s="806" t="n"/>
      <c r="H75" s="789" t="n"/>
      <c r="I75" s="790" t="n"/>
      <c r="J75" s="790" t="n"/>
      <c r="K75" s="171" t="n"/>
      <c r="L75" s="791" t="n"/>
      <c r="M75" s="792" t="n"/>
      <c r="N75" s="792" t="n"/>
      <c r="O75" s="792" t="n"/>
      <c r="P75" s="792" t="n"/>
      <c r="Q75" s="793" t="n"/>
      <c r="R75" s="794" t="n"/>
      <c r="S75" s="795" t="n"/>
      <c r="T75" s="796" t="n"/>
      <c r="U75" s="813" t="n"/>
      <c r="V75" s="798" t="n"/>
      <c r="W75" s="793" t="n"/>
      <c r="X75" s="807" t="n"/>
      <c r="Y75" s="805" t="n"/>
      <c r="Z75" s="805" t="n"/>
      <c r="AA75" s="806" t="n"/>
      <c r="AB75" s="807" t="n"/>
      <c r="AC75" s="805" t="n"/>
      <c r="AD75" s="805" t="n"/>
      <c r="AE75" s="39" t="n"/>
      <c r="AF75" s="803" t="n"/>
    </row>
    <row r="76" ht="20.1" customHeight="1" s="744">
      <c r="B76" s="785" t="n"/>
      <c r="C76" s="58" t="inlineStr">
        <is>
          <t>VAUX-QCL100-블루</t>
        </is>
      </c>
      <c r="D76" s="43" t="inlineStr">
        <is>
          <t>VAUX_캠핑용 랜턴 QCL100_블루</t>
        </is>
      </c>
      <c r="E76" s="786" t="n">
        <v>15</v>
      </c>
      <c r="F76" s="979" t="n"/>
      <c r="G76" s="806" t="n"/>
      <c r="H76" s="789" t="n"/>
      <c r="I76" s="790" t="n"/>
      <c r="J76" s="790" t="n"/>
      <c r="K76" s="171" t="n"/>
      <c r="L76" s="791" t="n"/>
      <c r="M76" s="792" t="n"/>
      <c r="N76" s="792" t="n"/>
      <c r="O76" s="792" t="n"/>
      <c r="P76" s="792" t="n"/>
      <c r="Q76" s="793" t="n"/>
      <c r="R76" s="794" t="n"/>
      <c r="S76" s="795" t="n"/>
      <c r="T76" s="796" t="n"/>
      <c r="U76" s="813" t="n"/>
      <c r="V76" s="798" t="n"/>
      <c r="W76" s="793" t="n"/>
      <c r="X76" s="807" t="n"/>
      <c r="Y76" s="805" t="n"/>
      <c r="Z76" s="805" t="n"/>
      <c r="AA76" s="806" t="n"/>
      <c r="AB76" s="807" t="n"/>
      <c r="AC76" s="805" t="n"/>
      <c r="AD76" s="805" t="n"/>
      <c r="AE76" s="39" t="n"/>
      <c r="AF76" s="803" t="n"/>
    </row>
    <row r="77" ht="20.1" customHeight="1" s="744">
      <c r="B77" s="785" t="n"/>
      <c r="C77" s="58" t="inlineStr">
        <is>
          <t>VAUX-QCL100-샌드</t>
        </is>
      </c>
      <c r="D77" s="43" t="inlineStr">
        <is>
          <t>VAUX_캠핑용 랜턴 QCL100_샌드</t>
        </is>
      </c>
      <c r="E77" s="786" t="n">
        <v>15</v>
      </c>
      <c r="F77" s="979" t="n"/>
      <c r="G77" s="806" t="n"/>
      <c r="H77" s="789" t="n"/>
      <c r="I77" s="790" t="n"/>
      <c r="J77" s="790" t="n"/>
      <c r="K77" s="171" t="n"/>
      <c r="L77" s="791" t="n"/>
      <c r="M77" s="792" t="n"/>
      <c r="N77" s="792" t="n"/>
      <c r="O77" s="792" t="n"/>
      <c r="P77" s="792" t="n"/>
      <c r="Q77" s="793" t="n"/>
      <c r="R77" s="794" t="n"/>
      <c r="S77" s="795" t="n"/>
      <c r="T77" s="796" t="n"/>
      <c r="U77" s="813" t="n"/>
      <c r="V77" s="798" t="n"/>
      <c r="W77" s="793" t="n"/>
      <c r="X77" s="807" t="n"/>
      <c r="Y77" s="805" t="n"/>
      <c r="Z77" s="805" t="n"/>
      <c r="AA77" s="806" t="n"/>
      <c r="AB77" s="807" t="n"/>
      <c r="AC77" s="805" t="n"/>
      <c r="AD77" s="805" t="n"/>
      <c r="AE77" s="39" t="n"/>
      <c r="AF77" s="803" t="n"/>
    </row>
    <row r="78" ht="20.1" customHeight="1" s="744" thickBot="1">
      <c r="B78" s="757" t="n"/>
      <c r="C78" s="47" t="inlineStr">
        <is>
          <t>VAUX-QCL100-화이트</t>
        </is>
      </c>
      <c r="D78" s="71" t="inlineStr">
        <is>
          <t>VAUX_캠핑용 랜턴 QCL100 화이트</t>
        </is>
      </c>
      <c r="E78" s="911" t="n">
        <v>15</v>
      </c>
      <c r="F78" s="980" t="n"/>
      <c r="G78" s="927" t="n"/>
      <c r="H78" s="914" t="n"/>
      <c r="I78" s="915" t="n"/>
      <c r="J78" s="915" t="n"/>
      <c r="K78" s="178" t="n"/>
      <c r="L78" s="916" t="n"/>
      <c r="M78" s="917" t="n"/>
      <c r="N78" s="917" t="n"/>
      <c r="O78" s="917" t="n"/>
      <c r="P78" s="917" t="n"/>
      <c r="Q78" s="918" t="n"/>
      <c r="R78" s="919" t="n"/>
      <c r="S78" s="920" t="n"/>
      <c r="T78" s="921" t="n"/>
      <c r="U78" s="981" t="n"/>
      <c r="V78" s="923" t="n"/>
      <c r="W78" s="918" t="n"/>
      <c r="X78" s="928" t="n"/>
      <c r="Y78" s="926" t="n"/>
      <c r="Z78" s="926" t="n"/>
      <c r="AA78" s="927" t="n"/>
      <c r="AB78" s="928" t="n"/>
      <c r="AC78" s="926" t="n"/>
      <c r="AD78" s="926" t="n"/>
      <c r="AE78" s="57" t="n"/>
      <c r="AF78" s="982" t="n"/>
    </row>
    <row r="79" ht="20.1" customHeight="1" s="744">
      <c r="B79" s="860" t="inlineStr">
        <is>
          <t>ACC</t>
        </is>
      </c>
      <c r="C79" s="186" t="inlineStr">
        <is>
          <t>ACONE-Sliconpad_SA</t>
        </is>
      </c>
      <c r="D79" s="299" t="inlineStr">
        <is>
          <t>ACONE-실리콘패드_샌드</t>
        </is>
      </c>
      <c r="E79" s="766" t="n">
        <v>100</v>
      </c>
      <c r="F79" s="983" t="n"/>
      <c r="G79" s="867" t="n"/>
      <c r="H79" s="769" t="n"/>
      <c r="I79" s="770" t="n"/>
      <c r="J79" s="770" t="n"/>
      <c r="K79" s="190" t="n"/>
      <c r="L79" s="771" t="n"/>
      <c r="M79" s="772" t="n"/>
      <c r="N79" s="772" t="n"/>
      <c r="O79" s="772" t="n"/>
      <c r="P79" s="772" t="n"/>
      <c r="Q79" s="773" t="n"/>
      <c r="R79" s="774" t="n"/>
      <c r="S79" s="775" t="n"/>
      <c r="T79" s="776" t="n"/>
      <c r="U79" s="931" t="n"/>
      <c r="V79" s="778" t="n"/>
      <c r="W79" s="773" t="n"/>
      <c r="X79" s="868" t="n"/>
      <c r="Y79" s="866" t="n"/>
      <c r="Z79" s="866" t="n"/>
      <c r="AA79" s="867" t="n"/>
      <c r="AB79" s="868" t="n"/>
      <c r="AC79" s="866" t="n"/>
      <c r="AD79" s="866" t="n"/>
      <c r="AE79" s="302" t="n"/>
      <c r="AF79" s="783" t="n"/>
    </row>
    <row r="80" ht="20.1" customHeight="1" s="744">
      <c r="B80" s="785" t="n"/>
      <c r="C80" s="530" t="inlineStr">
        <is>
          <t>ACONE-Sliconpad_BK</t>
        </is>
      </c>
      <c r="D80" s="531" t="inlineStr">
        <is>
          <t>ACONE-실리콘패드_블랙</t>
        </is>
      </c>
      <c r="E80" s="984" t="n">
        <v>100</v>
      </c>
      <c r="F80" s="985" t="n"/>
      <c r="G80" s="986" t="n"/>
      <c r="H80" s="987" t="n"/>
      <c r="I80" s="812" t="n"/>
      <c r="J80" s="812" t="n"/>
      <c r="K80" s="180" t="n"/>
      <c r="L80" s="988" t="n"/>
      <c r="M80" s="989" t="n"/>
      <c r="N80" s="989" t="n"/>
      <c r="O80" s="989" t="n"/>
      <c r="P80" s="989" t="n"/>
      <c r="Q80" s="990" t="n"/>
      <c r="R80" s="991" t="n"/>
      <c r="S80" s="992" t="n"/>
      <c r="T80" s="993" t="n"/>
      <c r="U80" s="994" t="n"/>
      <c r="V80" s="995" t="n"/>
      <c r="W80" s="990" t="n"/>
      <c r="X80" s="996" t="n"/>
      <c r="Y80" s="997" t="n"/>
      <c r="Z80" s="997" t="n"/>
      <c r="AA80" s="986" t="n"/>
      <c r="AB80" s="996" t="n"/>
      <c r="AC80" s="997" t="n"/>
      <c r="AD80" s="997" t="n"/>
      <c r="AE80" s="256" t="n"/>
      <c r="AF80" s="998" t="n"/>
    </row>
    <row r="81" ht="20.1" customHeight="1" s="744">
      <c r="B81" s="785" t="n"/>
      <c r="C81" s="530" t="inlineStr">
        <is>
          <t>ACONE-Sliconpad_RD</t>
        </is>
      </c>
      <c r="D81" s="531" t="inlineStr">
        <is>
          <t>ACONE-실리콘패드_레드</t>
        </is>
      </c>
      <c r="E81" s="984" t="n">
        <v>100</v>
      </c>
      <c r="F81" s="985" t="n"/>
      <c r="G81" s="986" t="n"/>
      <c r="H81" s="987" t="n"/>
      <c r="I81" s="812" t="n"/>
      <c r="J81" s="812" t="n"/>
      <c r="K81" s="180" t="n"/>
      <c r="L81" s="988" t="n"/>
      <c r="M81" s="989" t="n"/>
      <c r="N81" s="989" t="n"/>
      <c r="O81" s="989" t="n"/>
      <c r="P81" s="989" t="n"/>
      <c r="Q81" s="990" t="n"/>
      <c r="R81" s="991" t="n"/>
      <c r="S81" s="992" t="n"/>
      <c r="T81" s="993" t="n"/>
      <c r="U81" s="994" t="n"/>
      <c r="V81" s="995" t="n"/>
      <c r="W81" s="990" t="n"/>
      <c r="X81" s="996" t="n"/>
      <c r="Y81" s="997" t="n"/>
      <c r="Z81" s="997" t="n"/>
      <c r="AA81" s="986" t="n"/>
      <c r="AB81" s="996" t="n"/>
      <c r="AC81" s="997" t="n"/>
      <c r="AD81" s="997" t="n"/>
      <c r="AE81" s="256" t="n"/>
      <c r="AF81" s="998" t="n"/>
    </row>
    <row r="82" ht="20.1" customHeight="1" s="744">
      <c r="B82" s="785" t="n"/>
      <c r="C82" s="530" t="inlineStr">
        <is>
          <t>ACONE-Sliconpad_MU</t>
        </is>
      </c>
      <c r="D82" s="531" t="inlineStr">
        <is>
          <t>ACONE-실리콘패드_머스타드</t>
        </is>
      </c>
      <c r="E82" s="984" t="n">
        <v>100</v>
      </c>
      <c r="F82" s="985" t="n"/>
      <c r="G82" s="986" t="n"/>
      <c r="H82" s="987" t="n"/>
      <c r="I82" s="812" t="n"/>
      <c r="J82" s="812" t="n"/>
      <c r="K82" s="180" t="n"/>
      <c r="L82" s="988" t="n"/>
      <c r="M82" s="989" t="n"/>
      <c r="N82" s="989" t="n"/>
      <c r="O82" s="989" t="n"/>
      <c r="P82" s="989" t="n"/>
      <c r="Q82" s="990" t="n"/>
      <c r="R82" s="991" t="n"/>
      <c r="S82" s="992" t="n"/>
      <c r="T82" s="993" t="n"/>
      <c r="U82" s="994" t="n"/>
      <c r="V82" s="995" t="n"/>
      <c r="W82" s="990" t="n"/>
      <c r="X82" s="996" t="n"/>
      <c r="Y82" s="997" t="n"/>
      <c r="Z82" s="997" t="n"/>
      <c r="AA82" s="986" t="n"/>
      <c r="AB82" s="996" t="n"/>
      <c r="AC82" s="997" t="n"/>
      <c r="AD82" s="997" t="n"/>
      <c r="AE82" s="256" t="n"/>
      <c r="AF82" s="998" t="n"/>
    </row>
    <row r="83" ht="20.1" customHeight="1" s="744">
      <c r="B83" s="785" t="n"/>
      <c r="C83" s="530" t="inlineStr">
        <is>
          <t>ACONE-Sliconpad_CO</t>
        </is>
      </c>
      <c r="D83" s="531" t="inlineStr">
        <is>
          <t>ACONE-실리콘패드_코랄</t>
        </is>
      </c>
      <c r="E83" s="984" t="n">
        <v>100</v>
      </c>
      <c r="F83" s="985" t="n"/>
      <c r="G83" s="986" t="n"/>
      <c r="H83" s="987" t="n"/>
      <c r="I83" s="812" t="n"/>
      <c r="J83" s="812" t="n"/>
      <c r="K83" s="180" t="n"/>
      <c r="L83" s="988" t="n"/>
      <c r="M83" s="989" t="n"/>
      <c r="N83" s="989" t="n"/>
      <c r="O83" s="989" t="n"/>
      <c r="P83" s="989" t="n"/>
      <c r="Q83" s="990" t="n"/>
      <c r="R83" s="991" t="n"/>
      <c r="S83" s="992" t="n"/>
      <c r="T83" s="993" t="n"/>
      <c r="U83" s="994" t="n"/>
      <c r="V83" s="995" t="n"/>
      <c r="W83" s="990" t="n"/>
      <c r="X83" s="996" t="n"/>
      <c r="Y83" s="997" t="n"/>
      <c r="Z83" s="997" t="n"/>
      <c r="AA83" s="986" t="n"/>
      <c r="AB83" s="996" t="n"/>
      <c r="AC83" s="997" t="n"/>
      <c r="AD83" s="997" t="n"/>
      <c r="AE83" s="256" t="n"/>
      <c r="AF83" s="998" t="n"/>
    </row>
    <row r="84" ht="20.1" customHeight="1" s="744">
      <c r="B84" s="785" t="n"/>
      <c r="C84" s="530" t="inlineStr">
        <is>
          <t>ACONE-Sliconpad_CL</t>
        </is>
      </c>
      <c r="D84" s="531" t="inlineStr">
        <is>
          <t>ACONE-실리콘패드_클라우드</t>
        </is>
      </c>
      <c r="E84" s="984" t="n">
        <v>100</v>
      </c>
      <c r="F84" s="985" t="n"/>
      <c r="G84" s="986" t="n"/>
      <c r="H84" s="987" t="n"/>
      <c r="I84" s="812" t="n"/>
      <c r="J84" s="812" t="n"/>
      <c r="K84" s="180" t="n"/>
      <c r="L84" s="988" t="n"/>
      <c r="M84" s="989" t="n"/>
      <c r="N84" s="989" t="n"/>
      <c r="O84" s="989" t="n"/>
      <c r="P84" s="989" t="n"/>
      <c r="Q84" s="990" t="n"/>
      <c r="R84" s="991" t="n"/>
      <c r="S84" s="992" t="n"/>
      <c r="T84" s="993" t="n"/>
      <c r="U84" s="994" t="n"/>
      <c r="V84" s="995" t="n"/>
      <c r="W84" s="990" t="n"/>
      <c r="X84" s="996" t="n"/>
      <c r="Y84" s="997" t="n"/>
      <c r="Z84" s="997" t="n"/>
      <c r="AA84" s="986" t="n"/>
      <c r="AB84" s="996" t="n"/>
      <c r="AC84" s="997" t="n"/>
      <c r="AD84" s="997" t="n"/>
      <c r="AE84" s="256" t="n"/>
      <c r="AF84" s="998" t="n"/>
    </row>
    <row r="85" ht="20.1" customHeight="1" s="744">
      <c r="B85" s="785" t="n"/>
      <c r="C85" s="488" t="inlineStr">
        <is>
          <t>QA-Luggagescale_BK</t>
        </is>
      </c>
      <c r="D85" s="220" t="inlineStr">
        <is>
          <t>리큐엠 액세서리-캐리어저울_블랙</t>
        </is>
      </c>
      <c r="E85" s="999" t="n">
        <v>100</v>
      </c>
      <c r="F85" s="985" t="n"/>
      <c r="G85" s="986" t="n"/>
      <c r="H85" s="987" t="n"/>
      <c r="I85" s="812" t="n"/>
      <c r="J85" s="812" t="n"/>
      <c r="K85" s="180" t="n"/>
      <c r="L85" s="988" t="n"/>
      <c r="M85" s="989" t="n"/>
      <c r="N85" s="989" t="n"/>
      <c r="O85" s="989" t="n"/>
      <c r="P85" s="989" t="n"/>
      <c r="Q85" s="990" t="n"/>
      <c r="R85" s="991" t="n"/>
      <c r="S85" s="992" t="n"/>
      <c r="T85" s="993" t="n"/>
      <c r="U85" s="994" t="n"/>
      <c r="V85" s="995" t="n"/>
      <c r="W85" s="990" t="n"/>
      <c r="X85" s="996" t="n"/>
      <c r="Y85" s="997" t="n"/>
      <c r="Z85" s="997" t="n"/>
      <c r="AA85" s="986" t="n"/>
      <c r="AB85" s="996" t="n"/>
      <c r="AC85" s="997" t="n"/>
      <c r="AD85" s="997" t="n"/>
      <c r="AE85" s="256" t="n"/>
      <c r="AF85" s="1000" t="n"/>
    </row>
    <row r="86" ht="20.1" customHeight="1" s="744">
      <c r="B86" s="785" t="n"/>
      <c r="C86" s="487" t="inlineStr">
        <is>
          <t>QA-Luggagescale_WH</t>
        </is>
      </c>
      <c r="D86" s="94" t="inlineStr">
        <is>
          <t>리큐엠 액세서리-캐리어저울_화이트</t>
        </is>
      </c>
      <c r="E86" s="1001" t="n">
        <v>100</v>
      </c>
      <c r="F86" s="1002" t="n"/>
      <c r="G86" s="891" t="n"/>
      <c r="H86" s="1003" t="n"/>
      <c r="I86" s="1004" t="n"/>
      <c r="J86" s="1004" t="n"/>
      <c r="K86" s="192" t="n"/>
      <c r="L86" s="820" t="n"/>
      <c r="M86" s="1005" t="n"/>
      <c r="N86" s="1005" t="n"/>
      <c r="O86" s="1005" t="n"/>
      <c r="P86" s="1005" t="n"/>
      <c r="Q86" s="1006" t="n"/>
      <c r="R86" s="1007" t="n"/>
      <c r="S86" s="1008" t="n"/>
      <c r="T86" s="1009" t="n"/>
      <c r="U86" s="1010" t="n"/>
      <c r="V86" s="1011" t="n"/>
      <c r="W86" s="1006" t="n"/>
      <c r="X86" s="889" t="n"/>
      <c r="Y86" s="890" t="n"/>
      <c r="Z86" s="890" t="n"/>
      <c r="AA86" s="891" t="n"/>
      <c r="AB86" s="889" t="n"/>
      <c r="AC86" s="890" t="n"/>
      <c r="AD86" s="890" t="n"/>
      <c r="AE86" s="489" t="n"/>
      <c r="AF86" s="1012" t="n"/>
    </row>
    <row r="87" ht="20.1" customHeight="1" s="744">
      <c r="B87" s="785" t="n"/>
      <c r="C87" s="90" t="inlineStr">
        <is>
          <t>QA-Custumpouch_BK</t>
        </is>
      </c>
      <c r="D87" s="200" t="inlineStr">
        <is>
          <t>리큐엠 액세서리-커스텀파우치_블랙</t>
        </is>
      </c>
      <c r="E87" s="1013" t="n">
        <v>50</v>
      </c>
      <c r="F87" s="979" t="n"/>
      <c r="G87" s="806" t="n"/>
      <c r="H87" s="789" t="n"/>
      <c r="I87" s="790" t="n"/>
      <c r="J87" s="790" t="n"/>
      <c r="K87" s="171" t="n"/>
      <c r="L87" s="823" t="n"/>
      <c r="M87" s="824" t="n"/>
      <c r="N87" s="824" t="n"/>
      <c r="O87" s="824" t="n"/>
      <c r="P87" s="824" t="n"/>
      <c r="Q87" s="793" t="n"/>
      <c r="R87" s="794" t="n"/>
      <c r="S87" s="795" t="n"/>
      <c r="T87" s="796" t="n"/>
      <c r="U87" s="797" t="n"/>
      <c r="V87" s="798" t="n"/>
      <c r="W87" s="793" t="n"/>
      <c r="X87" s="1014" t="n"/>
      <c r="Y87" s="1015" t="n"/>
      <c r="Z87" s="1015" t="n"/>
      <c r="AA87" s="1016" t="n"/>
      <c r="AB87" s="1014" t="n"/>
      <c r="AC87" s="1015" t="n"/>
      <c r="AD87" s="1015" t="n"/>
      <c r="AE87" s="219" t="n"/>
      <c r="AF87" s="1017" t="n"/>
    </row>
    <row r="88" ht="20.1" customHeight="1" s="744">
      <c r="B88" s="785" t="n"/>
      <c r="C88" s="90" t="inlineStr">
        <is>
          <t>QA-Custumpouch_BL</t>
        </is>
      </c>
      <c r="D88" s="200" t="inlineStr">
        <is>
          <t>리큐엠 액세서리-커스텀파우치_블루</t>
        </is>
      </c>
      <c r="E88" s="1013" t="n">
        <v>50</v>
      </c>
      <c r="F88" s="979" t="n"/>
      <c r="G88" s="806" t="n"/>
      <c r="H88" s="789" t="n"/>
      <c r="I88" s="790" t="n"/>
      <c r="J88" s="790" t="n"/>
      <c r="K88" s="171" t="n"/>
      <c r="L88" s="823" t="n"/>
      <c r="M88" s="824" t="n"/>
      <c r="N88" s="824" t="n"/>
      <c r="O88" s="824" t="n"/>
      <c r="P88" s="824" t="n"/>
      <c r="Q88" s="793" t="n"/>
      <c r="R88" s="794" t="n"/>
      <c r="S88" s="795" t="n"/>
      <c r="T88" s="796" t="n"/>
      <c r="U88" s="797" t="n"/>
      <c r="V88" s="798" t="n"/>
      <c r="W88" s="793" t="n"/>
      <c r="X88" s="1014" t="n"/>
      <c r="Y88" s="1015" t="n"/>
      <c r="Z88" s="1015" t="n"/>
      <c r="AA88" s="1016" t="n"/>
      <c r="AB88" s="1014" t="n"/>
      <c r="AC88" s="1015" t="n"/>
      <c r="AD88" s="1015" t="n"/>
      <c r="AE88" s="219" t="n"/>
      <c r="AF88" s="1017" t="n"/>
    </row>
    <row r="89" ht="20.1" customHeight="1" s="744">
      <c r="B89" s="785" t="n"/>
      <c r="C89" s="90" t="inlineStr">
        <is>
          <t>QA-Custumpouch_GR</t>
        </is>
      </c>
      <c r="D89" s="200" t="inlineStr">
        <is>
          <t>리큐엠 액세서리-커스텀파우치_그린</t>
        </is>
      </c>
      <c r="E89" s="1013" t="n">
        <v>50</v>
      </c>
      <c r="F89" s="979" t="n"/>
      <c r="G89" s="806" t="n"/>
      <c r="H89" s="789" t="n"/>
      <c r="I89" s="790" t="n"/>
      <c r="J89" s="790" t="n"/>
      <c r="K89" s="171" t="n"/>
      <c r="L89" s="823" t="n"/>
      <c r="M89" s="824" t="n"/>
      <c r="N89" s="824" t="n"/>
      <c r="O89" s="824" t="n"/>
      <c r="P89" s="824" t="n"/>
      <c r="Q89" s="793" t="n"/>
      <c r="R89" s="794" t="n"/>
      <c r="S89" s="795" t="n"/>
      <c r="T89" s="796" t="n"/>
      <c r="U89" s="797" t="n"/>
      <c r="V89" s="798" t="n"/>
      <c r="W89" s="793" t="n"/>
      <c r="X89" s="1014" t="n"/>
      <c r="Y89" s="1015" t="n"/>
      <c r="Z89" s="1015" t="n"/>
      <c r="AA89" s="1016" t="n"/>
      <c r="AB89" s="1014" t="n"/>
      <c r="AC89" s="1015" t="n"/>
      <c r="AD89" s="1015" t="n"/>
      <c r="AE89" s="219" t="n"/>
      <c r="AF89" s="1017" t="n"/>
    </row>
    <row r="90" ht="20.1" customHeight="1" s="744">
      <c r="B90" s="785" t="n"/>
      <c r="C90" s="90" t="inlineStr">
        <is>
          <t>QA-Custumpouch_BE</t>
        </is>
      </c>
      <c r="D90" s="200" t="inlineStr">
        <is>
          <t>리큐엠 액세서리-커스텀파우치_베이지</t>
        </is>
      </c>
      <c r="E90" s="1013" t="n">
        <v>50</v>
      </c>
      <c r="F90" s="979" t="n"/>
      <c r="G90" s="806" t="n"/>
      <c r="H90" s="789" t="n"/>
      <c r="I90" s="790" t="n"/>
      <c r="J90" s="790" t="n"/>
      <c r="K90" s="171" t="n"/>
      <c r="L90" s="823" t="n"/>
      <c r="M90" s="824" t="n"/>
      <c r="N90" s="824" t="n"/>
      <c r="O90" s="824" t="n"/>
      <c r="P90" s="824" t="n"/>
      <c r="Q90" s="793" t="n"/>
      <c r="R90" s="794" t="n"/>
      <c r="S90" s="795" t="n"/>
      <c r="T90" s="796" t="n"/>
      <c r="U90" s="797" t="n"/>
      <c r="V90" s="798" t="n"/>
      <c r="W90" s="793" t="n"/>
      <c r="X90" s="1014" t="n"/>
      <c r="Y90" s="1015" t="n"/>
      <c r="Z90" s="1015" t="n"/>
      <c r="AA90" s="1016" t="n"/>
      <c r="AB90" s="1014" t="n"/>
      <c r="AC90" s="1015" t="n"/>
      <c r="AD90" s="1015" t="n"/>
      <c r="AE90" s="219" t="n"/>
      <c r="AF90" s="1017" t="n"/>
    </row>
    <row r="91" ht="20.1" customHeight="1" s="744">
      <c r="B91" s="785" t="n"/>
      <c r="C91" s="90" t="inlineStr">
        <is>
          <t>QA-Custumpouch_YL</t>
        </is>
      </c>
      <c r="D91" s="200" t="inlineStr">
        <is>
          <t>리큐엠 액세서리-커스텀파우치_옐로우</t>
        </is>
      </c>
      <c r="E91" s="1013" t="n">
        <v>50</v>
      </c>
      <c r="F91" s="979" t="n"/>
      <c r="G91" s="806" t="n"/>
      <c r="H91" s="789" t="n"/>
      <c r="I91" s="790" t="n"/>
      <c r="J91" s="790" t="n"/>
      <c r="K91" s="171" t="n"/>
      <c r="L91" s="823" t="n"/>
      <c r="M91" s="824" t="n"/>
      <c r="N91" s="824" t="n"/>
      <c r="O91" s="824" t="n"/>
      <c r="P91" s="824" t="n"/>
      <c r="Q91" s="793" t="n"/>
      <c r="R91" s="794" t="n"/>
      <c r="S91" s="795" t="n"/>
      <c r="T91" s="796" t="n"/>
      <c r="U91" s="797" t="n"/>
      <c r="V91" s="798" t="n"/>
      <c r="W91" s="793" t="n"/>
      <c r="X91" s="1014" t="n"/>
      <c r="Y91" s="1015" t="n"/>
      <c r="Z91" s="1015" t="n"/>
      <c r="AA91" s="1016" t="n"/>
      <c r="AB91" s="1014" t="n"/>
      <c r="AC91" s="1015" t="n"/>
      <c r="AD91" s="1015" t="n"/>
      <c r="AE91" s="219" t="n"/>
      <c r="AF91" s="1017" t="n"/>
    </row>
    <row r="92" ht="20.1" customHeight="1" s="744">
      <c r="B92" s="785" t="n"/>
      <c r="C92" s="90" t="inlineStr">
        <is>
          <t>QA-Minihardpouch_BK</t>
        </is>
      </c>
      <c r="D92" s="200" t="inlineStr">
        <is>
          <t>리큐엠 액세서리-미니하드파우치_블랙</t>
        </is>
      </c>
      <c r="E92" s="1013" t="n">
        <v>50</v>
      </c>
      <c r="F92" s="979" t="n"/>
      <c r="G92" s="806" t="n"/>
      <c r="H92" s="789" t="n"/>
      <c r="I92" s="790" t="n"/>
      <c r="J92" s="790" t="n"/>
      <c r="K92" s="171" t="n"/>
      <c r="L92" s="823" t="n"/>
      <c r="M92" s="824" t="n"/>
      <c r="N92" s="824" t="n"/>
      <c r="O92" s="824" t="n"/>
      <c r="P92" s="824" t="n"/>
      <c r="Q92" s="793" t="n"/>
      <c r="R92" s="794" t="n"/>
      <c r="S92" s="795" t="n"/>
      <c r="T92" s="796" t="n"/>
      <c r="U92" s="797" t="n"/>
      <c r="V92" s="798" t="n"/>
      <c r="W92" s="793" t="n"/>
      <c r="X92" s="1014" t="n"/>
      <c r="Y92" s="1015" t="n"/>
      <c r="Z92" s="1015" t="n"/>
      <c r="AA92" s="1016" t="n"/>
      <c r="AB92" s="1014" t="n"/>
      <c r="AC92" s="1015" t="n"/>
      <c r="AD92" s="1015" t="n"/>
      <c r="AE92" s="219" t="n"/>
      <c r="AF92" s="1017" t="n"/>
    </row>
    <row r="93" ht="20.1" customHeight="1" s="744">
      <c r="B93" s="785" t="n"/>
      <c r="C93" s="90" t="inlineStr">
        <is>
          <t>QA-Minihardpouch_BE</t>
        </is>
      </c>
      <c r="D93" s="200" t="inlineStr">
        <is>
          <t>리큐엠 액세서리-미니하드파우치_베이지</t>
        </is>
      </c>
      <c r="E93" s="1013" t="n">
        <v>50</v>
      </c>
      <c r="F93" s="979" t="n"/>
      <c r="G93" s="806" t="n"/>
      <c r="H93" s="789" t="n"/>
      <c r="I93" s="790" t="n"/>
      <c r="J93" s="790" t="n"/>
      <c r="K93" s="171" t="n"/>
      <c r="L93" s="823" t="n"/>
      <c r="M93" s="824" t="n"/>
      <c r="N93" s="824" t="n"/>
      <c r="O93" s="824" t="n"/>
      <c r="P93" s="824" t="n"/>
      <c r="Q93" s="793" t="n"/>
      <c r="R93" s="794" t="n"/>
      <c r="S93" s="795" t="n"/>
      <c r="T93" s="796" t="n"/>
      <c r="U93" s="797" t="n"/>
      <c r="V93" s="798" t="n"/>
      <c r="W93" s="793" t="n"/>
      <c r="X93" s="1014" t="n"/>
      <c r="Y93" s="1015" t="n"/>
      <c r="Z93" s="1015" t="n"/>
      <c r="AA93" s="1016" t="n"/>
      <c r="AB93" s="1014" t="n"/>
      <c r="AC93" s="1015" t="n"/>
      <c r="AD93" s="1015" t="n"/>
      <c r="AE93" s="219" t="n"/>
      <c r="AF93" s="1017" t="n"/>
    </row>
    <row r="94" ht="20.1" customHeight="1" s="744">
      <c r="B94" s="785" t="n"/>
      <c r="C94" s="90" t="inlineStr">
        <is>
          <t>QA-Minihardpouch_BL</t>
        </is>
      </c>
      <c r="D94" s="200" t="inlineStr">
        <is>
          <t>리큐엠 액세서리-미니하드파우치_블루</t>
        </is>
      </c>
      <c r="E94" s="1013" t="n">
        <v>50</v>
      </c>
      <c r="F94" s="979" t="n"/>
      <c r="G94" s="806" t="n"/>
      <c r="H94" s="789" t="n"/>
      <c r="I94" s="790" t="n"/>
      <c r="J94" s="790" t="n"/>
      <c r="K94" s="171" t="n"/>
      <c r="L94" s="823" t="n"/>
      <c r="M94" s="824" t="n"/>
      <c r="N94" s="824" t="n"/>
      <c r="O94" s="824" t="n"/>
      <c r="P94" s="824" t="n"/>
      <c r="Q94" s="793" t="n"/>
      <c r="R94" s="794" t="n"/>
      <c r="S94" s="795" t="n"/>
      <c r="T94" s="796" t="n"/>
      <c r="U94" s="797" t="n"/>
      <c r="V94" s="798" t="n"/>
      <c r="W94" s="793" t="n"/>
      <c r="X94" s="1014" t="n"/>
      <c r="Y94" s="1015" t="n"/>
      <c r="Z94" s="1015" t="n"/>
      <c r="AA94" s="1016" t="n"/>
      <c r="AB94" s="1014" t="n"/>
      <c r="AC94" s="1015" t="n"/>
      <c r="AD94" s="1015" t="n"/>
      <c r="AE94" s="219" t="n"/>
      <c r="AF94" s="1017" t="n"/>
    </row>
    <row r="95" ht="20.1" customHeight="1" s="744">
      <c r="B95" s="785" t="n"/>
      <c r="C95" s="90" t="inlineStr">
        <is>
          <t>QA-Minihardpouch_GR</t>
        </is>
      </c>
      <c r="D95" s="200" t="inlineStr">
        <is>
          <t>리큐엠 액세서리-미니하드파우치_그린</t>
        </is>
      </c>
      <c r="E95" s="1013" t="n">
        <v>50</v>
      </c>
      <c r="F95" s="979" t="n"/>
      <c r="G95" s="806" t="n"/>
      <c r="H95" s="789" t="n"/>
      <c r="I95" s="790" t="n"/>
      <c r="J95" s="790" t="n"/>
      <c r="K95" s="171" t="n"/>
      <c r="L95" s="823" t="n"/>
      <c r="M95" s="824" t="n"/>
      <c r="N95" s="824" t="n"/>
      <c r="O95" s="824" t="n"/>
      <c r="P95" s="824" t="n"/>
      <c r="Q95" s="793" t="n"/>
      <c r="R95" s="794" t="n"/>
      <c r="S95" s="795" t="n"/>
      <c r="T95" s="796" t="n"/>
      <c r="U95" s="797" t="n"/>
      <c r="V95" s="798" t="n"/>
      <c r="W95" s="793" t="n"/>
      <c r="X95" s="1014" t="n"/>
      <c r="Y95" s="1015" t="n"/>
      <c r="Z95" s="1015" t="n"/>
      <c r="AA95" s="1016" t="n"/>
      <c r="AB95" s="1014" t="n"/>
      <c r="AC95" s="1015" t="n"/>
      <c r="AD95" s="1015" t="n"/>
      <c r="AE95" s="219" t="n"/>
      <c r="AF95" s="1017" t="n"/>
    </row>
    <row r="96" ht="20.1" customHeight="1" s="744">
      <c r="B96" s="785" t="n"/>
      <c r="C96" s="90" t="inlineStr">
        <is>
          <t>QA-Minihardpouch_YL</t>
        </is>
      </c>
      <c r="D96" s="200" t="inlineStr">
        <is>
          <t>리큐엠 액세서리-미니하드파우치_옐로우</t>
        </is>
      </c>
      <c r="E96" s="1013" t="n">
        <v>50</v>
      </c>
      <c r="F96" s="979" t="n"/>
      <c r="G96" s="806" t="n"/>
      <c r="H96" s="789" t="n"/>
      <c r="I96" s="790" t="n"/>
      <c r="J96" s="790" t="n"/>
      <c r="K96" s="171" t="n"/>
      <c r="L96" s="823" t="n"/>
      <c r="M96" s="824" t="n"/>
      <c r="N96" s="824" t="n"/>
      <c r="O96" s="824" t="n"/>
      <c r="P96" s="824" t="n"/>
      <c r="Q96" s="793" t="n"/>
      <c r="R96" s="794" t="n"/>
      <c r="S96" s="795" t="n"/>
      <c r="T96" s="796" t="n"/>
      <c r="U96" s="797" t="n"/>
      <c r="V96" s="798" t="n"/>
      <c r="W96" s="793" t="n"/>
      <c r="X96" s="1014" t="n"/>
      <c r="Y96" s="1015" t="n"/>
      <c r="Z96" s="1015" t="n"/>
      <c r="AA96" s="1016" t="n"/>
      <c r="AB96" s="1014" t="n"/>
      <c r="AC96" s="1015" t="n"/>
      <c r="AD96" s="1015" t="n"/>
      <c r="AE96" s="219" t="n"/>
      <c r="AF96" s="1017" t="n"/>
    </row>
    <row r="97" ht="20.1" customHeight="1" s="744">
      <c r="B97" s="785" t="n"/>
      <c r="C97" s="90" t="inlineStr">
        <is>
          <t>QA-KeyRing_R</t>
        </is>
      </c>
      <c r="D97" s="200" t="inlineStr">
        <is>
          <t>리큐엠 액세서리-키링_R</t>
        </is>
      </c>
      <c r="E97" s="1013" t="n">
        <v>100</v>
      </c>
      <c r="F97" s="979" t="n"/>
      <c r="G97" s="806" t="n"/>
      <c r="H97" s="789" t="n"/>
      <c r="I97" s="790" t="n"/>
      <c r="J97" s="790" t="n"/>
      <c r="K97" s="171" t="n"/>
      <c r="L97" s="823" t="n"/>
      <c r="M97" s="824" t="n"/>
      <c r="N97" s="824" t="n"/>
      <c r="O97" s="824" t="n"/>
      <c r="P97" s="824" t="n"/>
      <c r="Q97" s="793" t="n"/>
      <c r="R97" s="794" t="n"/>
      <c r="S97" s="795" t="n"/>
      <c r="T97" s="796" t="n"/>
      <c r="U97" s="797" t="n"/>
      <c r="V97" s="798" t="n"/>
      <c r="W97" s="793" t="n"/>
      <c r="X97" s="1014" t="n"/>
      <c r="Y97" s="1015" t="n"/>
      <c r="Z97" s="1015" t="n"/>
      <c r="AA97" s="1016" t="n"/>
      <c r="AB97" s="1014" t="n"/>
      <c r="AC97" s="1015" t="n"/>
      <c r="AD97" s="1015" t="n"/>
      <c r="AE97" s="219" t="n"/>
      <c r="AF97" s="1017" t="n"/>
    </row>
    <row r="98" ht="20.1" customHeight="1" s="744">
      <c r="B98" s="785" t="n"/>
      <c r="C98" s="90" t="inlineStr">
        <is>
          <t>QA-KeyRing_E</t>
        </is>
      </c>
      <c r="D98" s="200" t="inlineStr">
        <is>
          <t>리큐엠 액세서리-키링_E</t>
        </is>
      </c>
      <c r="E98" s="1013" t="n">
        <v>100</v>
      </c>
      <c r="F98" s="979" t="n"/>
      <c r="G98" s="806" t="n"/>
      <c r="H98" s="789" t="n"/>
      <c r="I98" s="790" t="n"/>
      <c r="J98" s="790" t="n"/>
      <c r="K98" s="171" t="n"/>
      <c r="L98" s="823" t="n"/>
      <c r="M98" s="824" t="n"/>
      <c r="N98" s="824" t="n"/>
      <c r="O98" s="824" t="n"/>
      <c r="P98" s="824" t="n"/>
      <c r="Q98" s="793" t="n"/>
      <c r="R98" s="794" t="n"/>
      <c r="S98" s="795" t="n"/>
      <c r="T98" s="796" t="n"/>
      <c r="U98" s="797" t="n"/>
      <c r="V98" s="798" t="n"/>
      <c r="W98" s="793" t="n"/>
      <c r="X98" s="1014" t="n"/>
      <c r="Y98" s="1015" t="n"/>
      <c r="Z98" s="1015" t="n"/>
      <c r="AA98" s="1016" t="n"/>
      <c r="AB98" s="1014" t="n"/>
      <c r="AC98" s="1015" t="n"/>
      <c r="AD98" s="1015" t="n"/>
      <c r="AE98" s="219" t="n"/>
      <c r="AF98" s="1017" t="n"/>
    </row>
    <row r="99" ht="20.1" customHeight="1" s="744">
      <c r="B99" s="785" t="n"/>
      <c r="C99" s="90" t="inlineStr">
        <is>
          <t>QA-KeyRing_Q</t>
        </is>
      </c>
      <c r="D99" s="200" t="inlineStr">
        <is>
          <t>리큐엠 액세서리-키링_Q</t>
        </is>
      </c>
      <c r="E99" s="1013" t="n">
        <v>100</v>
      </c>
      <c r="F99" s="979" t="n"/>
      <c r="G99" s="806" t="n"/>
      <c r="H99" s="789" t="n"/>
      <c r="I99" s="790" t="n"/>
      <c r="J99" s="790" t="n"/>
      <c r="K99" s="171" t="n"/>
      <c r="L99" s="823" t="n"/>
      <c r="M99" s="824" t="n"/>
      <c r="N99" s="824" t="n"/>
      <c r="O99" s="824" t="n"/>
      <c r="P99" s="824" t="n"/>
      <c r="Q99" s="793" t="n"/>
      <c r="R99" s="794" t="n"/>
      <c r="S99" s="795" t="n"/>
      <c r="T99" s="796" t="n"/>
      <c r="U99" s="797" t="n"/>
      <c r="V99" s="798" t="n"/>
      <c r="W99" s="793" t="n"/>
      <c r="X99" s="1014" t="n"/>
      <c r="Y99" s="1015" t="n"/>
      <c r="Z99" s="1015" t="n"/>
      <c r="AA99" s="1016" t="n"/>
      <c r="AB99" s="1014" t="n"/>
      <c r="AC99" s="1015" t="n"/>
      <c r="AD99" s="1015" t="n"/>
      <c r="AE99" s="219" t="n"/>
      <c r="AF99" s="1017" t="n"/>
    </row>
    <row r="100" ht="20.1" customHeight="1" s="744">
      <c r="B100" s="785" t="n"/>
      <c r="C100" s="90" t="inlineStr">
        <is>
          <t>QA-KeyRing_M</t>
        </is>
      </c>
      <c r="D100" s="200" t="inlineStr">
        <is>
          <t>리큐엠 액세서리-키링_M</t>
        </is>
      </c>
      <c r="E100" s="1013" t="n">
        <v>100</v>
      </c>
      <c r="F100" s="979" t="n"/>
      <c r="G100" s="806" t="n"/>
      <c r="H100" s="789" t="n"/>
      <c r="I100" s="790" t="n"/>
      <c r="J100" s="790" t="n"/>
      <c r="K100" s="171" t="n"/>
      <c r="L100" s="823" t="n"/>
      <c r="M100" s="824" t="n"/>
      <c r="N100" s="824" t="n"/>
      <c r="O100" s="824" t="n"/>
      <c r="P100" s="824" t="n"/>
      <c r="Q100" s="793" t="n"/>
      <c r="R100" s="794" t="n"/>
      <c r="S100" s="795" t="n"/>
      <c r="T100" s="796" t="n"/>
      <c r="U100" s="797" t="n"/>
      <c r="V100" s="798" t="n"/>
      <c r="W100" s="793" t="n"/>
      <c r="X100" s="1014" t="n"/>
      <c r="Y100" s="1015" t="n"/>
      <c r="Z100" s="1015" t="n"/>
      <c r="AA100" s="1016" t="n"/>
      <c r="AB100" s="1014" t="n"/>
      <c r="AC100" s="1015" t="n"/>
      <c r="AD100" s="1015" t="n"/>
      <c r="AE100" s="219" t="n"/>
      <c r="AF100" s="1017" t="n"/>
    </row>
    <row r="101" ht="20.1" customHeight="1" s="744">
      <c r="B101" s="785" t="n"/>
      <c r="C101" s="90" t="inlineStr">
        <is>
          <t>QA-Jibbitz_GOOUT</t>
        </is>
      </c>
      <c r="D101" s="200" t="inlineStr">
        <is>
          <t>리큐엠 액세서리-지비츠_GO OUT</t>
        </is>
      </c>
      <c r="E101" s="1013" t="n">
        <v>500</v>
      </c>
      <c r="F101" s="979" t="n"/>
      <c r="G101" s="806" t="n"/>
      <c r="H101" s="789" t="n"/>
      <c r="I101" s="790" t="n"/>
      <c r="J101" s="790" t="n"/>
      <c r="K101" s="171" t="n"/>
      <c r="L101" s="823" t="n"/>
      <c r="M101" s="824" t="n"/>
      <c r="N101" s="824" t="n"/>
      <c r="O101" s="824" t="n"/>
      <c r="P101" s="824" t="n"/>
      <c r="Q101" s="793" t="n"/>
      <c r="R101" s="794" t="n"/>
      <c r="S101" s="795" t="n"/>
      <c r="T101" s="796" t="n"/>
      <c r="U101" s="797" t="n"/>
      <c r="V101" s="798" t="n"/>
      <c r="W101" s="793" t="n"/>
      <c r="X101" s="1014" t="n"/>
      <c r="Y101" s="1015" t="n"/>
      <c r="Z101" s="1015" t="n"/>
      <c r="AA101" s="1016" t="n"/>
      <c r="AB101" s="1014" t="n"/>
      <c r="AC101" s="1015" t="n"/>
      <c r="AD101" s="1015" t="n"/>
      <c r="AE101" s="219" t="n"/>
      <c r="AF101" s="1017" t="n"/>
    </row>
    <row r="102" ht="20.1" customHeight="1" s="744">
      <c r="B102" s="785" t="n"/>
      <c r="C102" s="90" t="inlineStr">
        <is>
          <t>QA-Jibbitz_CAMPING</t>
        </is>
      </c>
      <c r="D102" s="200" t="inlineStr">
        <is>
          <t>리큐엠 액세서리-지비츠_CAMPING</t>
        </is>
      </c>
      <c r="E102" s="1013" t="n">
        <v>500</v>
      </c>
      <c r="F102" s="979" t="n"/>
      <c r="G102" s="806" t="n"/>
      <c r="H102" s="789" t="n"/>
      <c r="I102" s="790" t="n"/>
      <c r="J102" s="790" t="n"/>
      <c r="K102" s="171" t="n"/>
      <c r="L102" s="823" t="n"/>
      <c r="M102" s="824" t="n"/>
      <c r="N102" s="824" t="n"/>
      <c r="O102" s="824" t="n"/>
      <c r="P102" s="824" t="n"/>
      <c r="Q102" s="793" t="n"/>
      <c r="R102" s="794" t="n"/>
      <c r="S102" s="795" t="n"/>
      <c r="T102" s="796" t="n"/>
      <c r="U102" s="797" t="n"/>
      <c r="V102" s="798" t="n"/>
      <c r="W102" s="793" t="n"/>
      <c r="X102" s="1014" t="n"/>
      <c r="Y102" s="1015" t="n"/>
      <c r="Z102" s="1015" t="n"/>
      <c r="AA102" s="1016" t="n"/>
      <c r="AB102" s="1014" t="n"/>
      <c r="AC102" s="1015" t="n"/>
      <c r="AD102" s="1015" t="n"/>
      <c r="AE102" s="219" t="n"/>
      <c r="AF102" s="1017" t="n"/>
    </row>
    <row r="103" ht="20.1" customHeight="1" s="744">
      <c r="B103" s="785" t="n"/>
      <c r="C103" s="90" t="inlineStr">
        <is>
          <t>QA-Jibbitz_TRAVEL</t>
        </is>
      </c>
      <c r="D103" s="200" t="inlineStr">
        <is>
          <t>리큐엠 액세서리-지비츠_TRAVEL</t>
        </is>
      </c>
      <c r="E103" s="1013" t="n">
        <v>500</v>
      </c>
      <c r="F103" s="979" t="n"/>
      <c r="G103" s="806" t="n"/>
      <c r="H103" s="789" t="n"/>
      <c r="I103" s="790" t="n"/>
      <c r="J103" s="790" t="n"/>
      <c r="K103" s="171" t="n"/>
      <c r="L103" s="823" t="n"/>
      <c r="M103" s="824" t="n"/>
      <c r="N103" s="824" t="n"/>
      <c r="O103" s="824" t="n"/>
      <c r="P103" s="824" t="n"/>
      <c r="Q103" s="793" t="n"/>
      <c r="R103" s="794" t="n"/>
      <c r="S103" s="795" t="n"/>
      <c r="T103" s="796" t="n"/>
      <c r="U103" s="797" t="n"/>
      <c r="V103" s="798" t="n"/>
      <c r="W103" s="793" t="n"/>
      <c r="X103" s="1014" t="n"/>
      <c r="Y103" s="1015" t="n"/>
      <c r="Z103" s="1015" t="n"/>
      <c r="AA103" s="1016" t="n"/>
      <c r="AB103" s="1014" t="n"/>
      <c r="AC103" s="1015" t="n"/>
      <c r="AD103" s="1015" t="n"/>
      <c r="AE103" s="219" t="n"/>
      <c r="AF103" s="1017" t="n"/>
    </row>
    <row r="104" ht="20.1" customHeight="1" s="744">
      <c r="B104" s="785" t="n"/>
      <c r="C104" s="90" t="inlineStr">
        <is>
          <t>QA-Jibbitz_SPORTS</t>
        </is>
      </c>
      <c r="D104" s="200" t="inlineStr">
        <is>
          <t>리큐엠 액세서리-지비츠_SPORTS</t>
        </is>
      </c>
      <c r="E104" s="1013" t="n">
        <v>500</v>
      </c>
      <c r="F104" s="979" t="n"/>
      <c r="G104" s="806" t="n"/>
      <c r="H104" s="789" t="n"/>
      <c r="I104" s="790" t="n"/>
      <c r="J104" s="790" t="n"/>
      <c r="K104" s="171" t="n"/>
      <c r="L104" s="823" t="n"/>
      <c r="M104" s="824" t="n"/>
      <c r="N104" s="824" t="n"/>
      <c r="O104" s="824" t="n"/>
      <c r="P104" s="824" t="n"/>
      <c r="Q104" s="793" t="n"/>
      <c r="R104" s="794" t="n"/>
      <c r="S104" s="795" t="n"/>
      <c r="T104" s="796" t="n"/>
      <c r="U104" s="797" t="n"/>
      <c r="V104" s="798" t="n"/>
      <c r="W104" s="793" t="n"/>
      <c r="X104" s="1014" t="n"/>
      <c r="Y104" s="1015" t="n"/>
      <c r="Z104" s="1015" t="n"/>
      <c r="AA104" s="1016" t="n"/>
      <c r="AB104" s="1014" t="n"/>
      <c r="AC104" s="1015" t="n"/>
      <c r="AD104" s="1015" t="n"/>
      <c r="AE104" s="219" t="n"/>
      <c r="AF104" s="1017" t="n"/>
    </row>
    <row r="105" ht="20.1" customHeight="1" s="744">
      <c r="B105" s="785" t="n"/>
      <c r="C105" s="90" t="inlineStr">
        <is>
          <t>QA-Rug_GOOUT_RD</t>
        </is>
      </c>
      <c r="D105" s="200" t="inlineStr">
        <is>
          <t>리큐엠 액세서리-Rug_GOOUT_레드</t>
        </is>
      </c>
      <c r="E105" s="1013" t="n">
        <v>10</v>
      </c>
      <c r="F105" s="979" t="n"/>
      <c r="G105" s="806" t="n"/>
      <c r="H105" s="789" t="n"/>
      <c r="I105" s="790" t="n"/>
      <c r="J105" s="790" t="n"/>
      <c r="K105" s="171" t="n"/>
      <c r="L105" s="823" t="n"/>
      <c r="M105" s="824" t="n"/>
      <c r="N105" s="824" t="n"/>
      <c r="O105" s="824" t="n"/>
      <c r="P105" s="824" t="n"/>
      <c r="Q105" s="793" t="n"/>
      <c r="R105" s="794" t="n"/>
      <c r="S105" s="795" t="n"/>
      <c r="T105" s="796" t="n"/>
      <c r="U105" s="797" t="n"/>
      <c r="V105" s="798" t="n"/>
      <c r="W105" s="793" t="n"/>
      <c r="X105" s="1014" t="n"/>
      <c r="Y105" s="1015" t="n"/>
      <c r="Z105" s="1015" t="n"/>
      <c r="AA105" s="1016" t="n"/>
      <c r="AB105" s="1014" t="n"/>
      <c r="AC105" s="1015" t="n"/>
      <c r="AD105" s="1015" t="n"/>
      <c r="AE105" s="219" t="n"/>
      <c r="AF105" s="1017" t="n"/>
    </row>
    <row r="106" ht="20.1" customHeight="1" s="744">
      <c r="B106" s="785" t="n"/>
      <c r="C106" s="90" t="inlineStr">
        <is>
          <t>QA-Rug_GOOUT_YL</t>
        </is>
      </c>
      <c r="D106" s="200" t="inlineStr">
        <is>
          <t>리큐엠 액세서리-Rug_GOOUT_옐로우</t>
        </is>
      </c>
      <c r="E106" s="1013" t="n">
        <v>10</v>
      </c>
      <c r="F106" s="979" t="n"/>
      <c r="G106" s="806" t="n"/>
      <c r="H106" s="789" t="n"/>
      <c r="I106" s="790" t="n"/>
      <c r="J106" s="790" t="n"/>
      <c r="K106" s="171" t="n"/>
      <c r="L106" s="823" t="n"/>
      <c r="M106" s="824" t="n"/>
      <c r="N106" s="824" t="n"/>
      <c r="O106" s="824" t="n"/>
      <c r="P106" s="824" t="n"/>
      <c r="Q106" s="793" t="n"/>
      <c r="R106" s="794" t="n"/>
      <c r="S106" s="795" t="n"/>
      <c r="T106" s="796" t="n"/>
      <c r="U106" s="797" t="n"/>
      <c r="V106" s="798" t="n"/>
      <c r="W106" s="793" t="n"/>
      <c r="X106" s="1014" t="n"/>
      <c r="Y106" s="1015" t="n"/>
      <c r="Z106" s="1015" t="n"/>
      <c r="AA106" s="1016" t="n"/>
      <c r="AB106" s="1014" t="n"/>
      <c r="AC106" s="1015" t="n"/>
      <c r="AD106" s="1015" t="n"/>
      <c r="AE106" s="219" t="n"/>
      <c r="AF106" s="1017" t="n"/>
    </row>
    <row r="107" ht="20.1" customHeight="1" s="744">
      <c r="B107" s="785" t="n"/>
      <c r="C107" s="90" t="inlineStr">
        <is>
          <t>QA-Rug_GOOUT_GR</t>
        </is>
      </c>
      <c r="D107" s="200" t="inlineStr">
        <is>
          <t>리큐엠 액세서리-Rug_GOOUT_그린</t>
        </is>
      </c>
      <c r="E107" s="1013" t="n">
        <v>10</v>
      </c>
      <c r="F107" s="979" t="n"/>
      <c r="G107" s="806" t="n"/>
      <c r="H107" s="789" t="n"/>
      <c r="I107" s="790" t="n"/>
      <c r="J107" s="790" t="n"/>
      <c r="K107" s="171" t="n"/>
      <c r="L107" s="823" t="n"/>
      <c r="M107" s="824" t="n"/>
      <c r="N107" s="824" t="n"/>
      <c r="O107" s="824" t="n"/>
      <c r="P107" s="824" t="n"/>
      <c r="Q107" s="793" t="n"/>
      <c r="R107" s="794" t="n"/>
      <c r="S107" s="795" t="n"/>
      <c r="T107" s="796" t="n"/>
      <c r="U107" s="797" t="n"/>
      <c r="V107" s="798" t="n"/>
      <c r="W107" s="793" t="n"/>
      <c r="X107" s="1014" t="n"/>
      <c r="Y107" s="1015" t="n"/>
      <c r="Z107" s="1015" t="n"/>
      <c r="AA107" s="1016" t="n"/>
      <c r="AB107" s="1014" t="n"/>
      <c r="AC107" s="1015" t="n"/>
      <c r="AD107" s="1015" t="n"/>
      <c r="AE107" s="219" t="n"/>
      <c r="AF107" s="1017" t="n"/>
    </row>
    <row r="108" ht="20.1" customHeight="1" s="744">
      <c r="B108" s="785" t="n"/>
      <c r="C108" s="90" t="inlineStr">
        <is>
          <t>QA-Rug_GOOUT_BL</t>
        </is>
      </c>
      <c r="D108" s="200" t="inlineStr">
        <is>
          <t>리큐엠 액세서리-Rug_GOOUT_블루</t>
        </is>
      </c>
      <c r="E108" s="1013" t="n">
        <v>10</v>
      </c>
      <c r="F108" s="979" t="n"/>
      <c r="G108" s="806" t="n"/>
      <c r="H108" s="789" t="n"/>
      <c r="I108" s="790" t="n"/>
      <c r="J108" s="790" t="n"/>
      <c r="K108" s="171" t="n"/>
      <c r="L108" s="823" t="n"/>
      <c r="M108" s="824" t="n"/>
      <c r="N108" s="824" t="n"/>
      <c r="O108" s="824" t="n"/>
      <c r="P108" s="824" t="n"/>
      <c r="Q108" s="793" t="n"/>
      <c r="R108" s="794" t="n"/>
      <c r="S108" s="795" t="n"/>
      <c r="T108" s="796" t="n"/>
      <c r="U108" s="797" t="n"/>
      <c r="V108" s="798" t="n"/>
      <c r="W108" s="793" t="n"/>
      <c r="X108" s="1014" t="n"/>
      <c r="Y108" s="1015" t="n"/>
      <c r="Z108" s="1015" t="n"/>
      <c r="AA108" s="1016" t="n"/>
      <c r="AB108" s="1014" t="n"/>
      <c r="AC108" s="1015" t="n"/>
      <c r="AD108" s="1015" t="n"/>
      <c r="AE108" s="219" t="n"/>
      <c r="AF108" s="1017" t="n"/>
    </row>
    <row r="109" ht="20.1" customHeight="1" s="744">
      <c r="B109" s="785" t="n"/>
      <c r="C109" s="90" t="inlineStr">
        <is>
          <t>QA-Rug_SYMBOL-B_BL</t>
        </is>
      </c>
      <c r="D109" s="200" t="inlineStr">
        <is>
          <t>리큐엠 액세서리-Rug_SYMBOL-B_블루</t>
        </is>
      </c>
      <c r="E109" s="1013" t="n">
        <v>10</v>
      </c>
      <c r="F109" s="979" t="n"/>
      <c r="G109" s="806" t="n"/>
      <c r="H109" s="789" t="n"/>
      <c r="I109" s="790" t="n"/>
      <c r="J109" s="790" t="n"/>
      <c r="K109" s="171" t="n"/>
      <c r="L109" s="823" t="n"/>
      <c r="M109" s="824" t="n"/>
      <c r="N109" s="824" t="n"/>
      <c r="O109" s="824" t="n"/>
      <c r="P109" s="824" t="n"/>
      <c r="Q109" s="793" t="n"/>
      <c r="R109" s="794" t="n"/>
      <c r="S109" s="795" t="n"/>
      <c r="T109" s="796" t="n"/>
      <c r="U109" s="797" t="n"/>
      <c r="V109" s="798" t="n"/>
      <c r="W109" s="793" t="n"/>
      <c r="X109" s="1014" t="n"/>
      <c r="Y109" s="1015" t="n"/>
      <c r="Z109" s="1015" t="n"/>
      <c r="AA109" s="1016" t="n"/>
      <c r="AB109" s="1014" t="n"/>
      <c r="AC109" s="1015" t="n"/>
      <c r="AD109" s="1015" t="n"/>
      <c r="AE109" s="219" t="n"/>
      <c r="AF109" s="1017" t="n"/>
    </row>
    <row r="110" ht="20.1" customHeight="1" s="744">
      <c r="B110" s="785" t="n"/>
      <c r="C110" s="90" t="inlineStr">
        <is>
          <t>POUCH-Tarpaulin-BK</t>
        </is>
      </c>
      <c r="D110" s="200" t="inlineStr">
        <is>
          <t>타포린 파우치_블랙</t>
        </is>
      </c>
      <c r="E110" s="1013" t="n">
        <v>100</v>
      </c>
      <c r="F110" s="1018" t="n"/>
      <c r="G110" s="806" t="n"/>
      <c r="H110" s="789" t="n"/>
      <c r="I110" s="790" t="n"/>
      <c r="J110" s="790" t="n"/>
      <c r="K110" s="171" t="n"/>
      <c r="L110" s="791" t="n"/>
      <c r="M110" s="792" t="n"/>
      <c r="N110" s="792" t="n"/>
      <c r="O110" s="792" t="n"/>
      <c r="P110" s="792" t="n"/>
      <c r="Q110" s="793" t="n"/>
      <c r="R110" s="794" t="n"/>
      <c r="S110" s="795" t="n"/>
      <c r="T110" s="796" t="n"/>
      <c r="U110" s="797" t="n"/>
      <c r="V110" s="798" t="n"/>
      <c r="W110" s="793" t="n"/>
      <c r="X110" s="1014" t="n"/>
      <c r="Y110" s="1015" t="n"/>
      <c r="Z110" s="1015" t="n"/>
      <c r="AA110" s="1016" t="n"/>
      <c r="AB110" s="1014" t="n"/>
      <c r="AC110" s="1015" t="n"/>
      <c r="AD110" s="1015" t="n"/>
      <c r="AE110" s="97" t="n"/>
      <c r="AF110" s="1017" t="n"/>
    </row>
    <row r="111" ht="20.1" customHeight="1" s="744">
      <c r="B111" s="785" t="n"/>
      <c r="C111" s="90" t="inlineStr">
        <is>
          <t>POUCH-Tarpaulin-BLUE</t>
        </is>
      </c>
      <c r="D111" s="200" t="inlineStr">
        <is>
          <t>타포린 파우치_블루</t>
        </is>
      </c>
      <c r="E111" s="1013" t="n">
        <v>100</v>
      </c>
      <c r="F111" s="1018" t="n"/>
      <c r="G111" s="806" t="n"/>
      <c r="H111" s="789" t="n"/>
      <c r="I111" s="790" t="n"/>
      <c r="J111" s="790" t="n"/>
      <c r="K111" s="171" t="n"/>
      <c r="L111" s="791" t="n"/>
      <c r="M111" s="792" t="n"/>
      <c r="N111" s="792" t="n"/>
      <c r="O111" s="792" t="n"/>
      <c r="P111" s="792" t="n"/>
      <c r="Q111" s="793" t="n"/>
      <c r="R111" s="794" t="n"/>
      <c r="S111" s="795" t="n"/>
      <c r="T111" s="796" t="n"/>
      <c r="U111" s="797" t="n"/>
      <c r="V111" s="798" t="n"/>
      <c r="W111" s="793" t="n"/>
      <c r="X111" s="1014" t="n"/>
      <c r="Y111" s="1015" t="n"/>
      <c r="Z111" s="1015" t="n"/>
      <c r="AA111" s="1016" t="n"/>
      <c r="AB111" s="1014" t="n"/>
      <c r="AC111" s="1015" t="n"/>
      <c r="AD111" s="1015" t="n"/>
      <c r="AE111" s="97" t="n"/>
      <c r="AF111" s="1017" t="n"/>
    </row>
    <row r="112" ht="20.1" customHeight="1" s="744">
      <c r="B112" s="785" t="n"/>
      <c r="C112" s="90" t="inlineStr">
        <is>
          <t>POUCH-Tarpaulin-RED</t>
        </is>
      </c>
      <c r="D112" s="200" t="inlineStr">
        <is>
          <t>타포린 파우치_레드</t>
        </is>
      </c>
      <c r="E112" s="1013" t="n">
        <v>100</v>
      </c>
      <c r="F112" s="1018" t="n"/>
      <c r="G112" s="806" t="n"/>
      <c r="H112" s="789" t="n"/>
      <c r="I112" s="790" t="n"/>
      <c r="J112" s="790" t="n"/>
      <c r="K112" s="171" t="n"/>
      <c r="L112" s="791" t="n"/>
      <c r="M112" s="792" t="n"/>
      <c r="N112" s="792" t="n"/>
      <c r="O112" s="792" t="n"/>
      <c r="P112" s="792" t="n"/>
      <c r="Q112" s="793" t="n"/>
      <c r="R112" s="794" t="n"/>
      <c r="S112" s="795" t="n"/>
      <c r="T112" s="796" t="n"/>
      <c r="U112" s="797" t="n"/>
      <c r="V112" s="798" t="n"/>
      <c r="W112" s="793" t="n"/>
      <c r="X112" s="1014" t="n"/>
      <c r="Y112" s="1015" t="n"/>
      <c r="Z112" s="1015" t="n"/>
      <c r="AA112" s="1016" t="n"/>
      <c r="AB112" s="1014" t="n"/>
      <c r="AC112" s="1015" t="n"/>
      <c r="AD112" s="1015" t="n"/>
      <c r="AE112" s="97" t="n"/>
      <c r="AF112" s="1017" t="n"/>
    </row>
    <row r="113" ht="20.1" customHeight="1" s="744">
      <c r="B113" s="785" t="n"/>
      <c r="C113" s="90" t="inlineStr">
        <is>
          <t>POUCH-Tarpaulin-WH</t>
        </is>
      </c>
      <c r="D113" s="200" t="inlineStr">
        <is>
          <t>타포린 파우치_화이트</t>
        </is>
      </c>
      <c r="E113" s="1013" t="n">
        <v>100</v>
      </c>
      <c r="F113" s="1018" t="n"/>
      <c r="G113" s="806" t="n"/>
      <c r="H113" s="789" t="n"/>
      <c r="I113" s="790" t="n"/>
      <c r="J113" s="790" t="n"/>
      <c r="K113" s="171" t="n"/>
      <c r="L113" s="791" t="n"/>
      <c r="M113" s="792" t="n"/>
      <c r="N113" s="792" t="n"/>
      <c r="O113" s="792" t="n"/>
      <c r="P113" s="792" t="n"/>
      <c r="Q113" s="793" t="n"/>
      <c r="R113" s="794" t="n"/>
      <c r="S113" s="795" t="n"/>
      <c r="T113" s="796" t="n"/>
      <c r="U113" s="797" t="n"/>
      <c r="V113" s="798" t="n"/>
      <c r="W113" s="793" t="n"/>
      <c r="X113" s="1014" t="n"/>
      <c r="Y113" s="1015" t="n"/>
      <c r="Z113" s="1015" t="n"/>
      <c r="AA113" s="1016" t="n"/>
      <c r="AB113" s="1014" t="n"/>
      <c r="AC113" s="1015" t="n"/>
      <c r="AD113" s="1015" t="n"/>
      <c r="AE113" s="97" t="n"/>
      <c r="AF113" s="1017" t="n"/>
    </row>
    <row r="114" ht="20.1" customHeight="1" s="744">
      <c r="B114" s="785" t="n"/>
      <c r="C114" s="487" t="inlineStr">
        <is>
          <t>POUCH-Tarpaulin-YL</t>
        </is>
      </c>
      <c r="D114" s="94" t="inlineStr">
        <is>
          <t>타포린 파우치_옐로우</t>
        </is>
      </c>
      <c r="E114" s="1001" t="n">
        <v>100</v>
      </c>
      <c r="F114" s="1019" t="n"/>
      <c r="G114" s="891" t="n"/>
      <c r="H114" s="1003" t="n"/>
      <c r="I114" s="1004" t="n"/>
      <c r="J114" s="1004" t="n"/>
      <c r="K114" s="192" t="n"/>
      <c r="L114" s="820" t="n"/>
      <c r="M114" s="1005" t="n"/>
      <c r="N114" s="1005" t="n"/>
      <c r="O114" s="1005" t="n"/>
      <c r="P114" s="1005" t="n"/>
      <c r="Q114" s="1006" t="n"/>
      <c r="R114" s="1007" t="n"/>
      <c r="S114" s="1008" t="n"/>
      <c r="T114" s="1009" t="n"/>
      <c r="U114" s="1020" t="n"/>
      <c r="V114" s="1011" t="n"/>
      <c r="W114" s="1006" t="n"/>
      <c r="X114" s="1021" t="n"/>
      <c r="Y114" s="1022" t="n"/>
      <c r="Z114" s="1022" t="n"/>
      <c r="AA114" s="1023" t="n"/>
      <c r="AB114" s="1021" t="n"/>
      <c r="AC114" s="1022" t="n"/>
      <c r="AD114" s="1022" t="n"/>
      <c r="AE114" s="101" t="n"/>
      <c r="AF114" s="1012" t="n"/>
    </row>
    <row r="115" ht="20.1" customHeight="1" s="744">
      <c r="B115" s="785" t="n"/>
      <c r="C115" s="90" t="inlineStr">
        <is>
          <t>POUCH-Tarpaulin_F-GR</t>
        </is>
      </c>
      <c r="D115" s="200" t="inlineStr">
        <is>
          <t>타포린 파우치_그레이</t>
        </is>
      </c>
      <c r="E115" s="1013" t="n">
        <v>100</v>
      </c>
      <c r="F115" s="1018" t="n"/>
      <c r="G115" s="806" t="n"/>
      <c r="H115" s="789" t="n"/>
      <c r="I115" s="790" t="n"/>
      <c r="J115" s="790" t="n"/>
      <c r="K115" s="171" t="n"/>
      <c r="L115" s="791" t="n"/>
      <c r="M115" s="792" t="n"/>
      <c r="N115" s="792" t="n"/>
      <c r="O115" s="792" t="n"/>
      <c r="P115" s="792" t="n"/>
      <c r="Q115" s="793" t="n"/>
      <c r="R115" s="794" t="n"/>
      <c r="S115" s="795" t="n"/>
      <c r="T115" s="796" t="n"/>
      <c r="U115" s="797" t="n"/>
      <c r="V115" s="798" t="n"/>
      <c r="W115" s="793" t="n"/>
      <c r="X115" s="1014" t="n"/>
      <c r="Y115" s="1015" t="n"/>
      <c r="Z115" s="1015" t="n"/>
      <c r="AA115" s="1016" t="n"/>
      <c r="AB115" s="1014" t="n"/>
      <c r="AC115" s="1015" t="n"/>
      <c r="AD115" s="1015" t="n"/>
      <c r="AE115" s="97" t="n"/>
      <c r="AF115" s="1017" t="n"/>
    </row>
    <row r="116" ht="20.1" customHeight="1" s="744">
      <c r="B116" s="785" t="n"/>
      <c r="C116" s="90" t="inlineStr">
        <is>
          <t>CASE-QP1000A-Ebony</t>
        </is>
      </c>
      <c r="D116" s="200" t="inlineStr">
        <is>
          <t>QP1000 실리콘 케이스_에보니</t>
        </is>
      </c>
      <c r="E116" s="1013" t="n">
        <v>100</v>
      </c>
      <c r="F116" s="1018" t="n"/>
      <c r="G116" s="806" t="n"/>
      <c r="H116" s="789" t="n"/>
      <c r="I116" s="790" t="n"/>
      <c r="J116" s="790" t="n"/>
      <c r="K116" s="171" t="n"/>
      <c r="L116" s="791" t="n"/>
      <c r="M116" s="792" t="n"/>
      <c r="N116" s="792" t="n"/>
      <c r="O116" s="792" t="n"/>
      <c r="P116" s="792" t="n"/>
      <c r="Q116" s="793" t="n"/>
      <c r="R116" s="794" t="n"/>
      <c r="S116" s="795" t="n"/>
      <c r="T116" s="796" t="n"/>
      <c r="U116" s="797" t="n"/>
      <c r="V116" s="798" t="n"/>
      <c r="W116" s="793" t="n"/>
      <c r="X116" s="807" t="n"/>
      <c r="Y116" s="805" t="n"/>
      <c r="Z116" s="805" t="n"/>
      <c r="AA116" s="806" t="n"/>
      <c r="AB116" s="807" t="n"/>
      <c r="AC116" s="805" t="n"/>
      <c r="AD116" s="805" t="n"/>
      <c r="AE116" s="39" t="n"/>
      <c r="AF116" s="910" t="n"/>
    </row>
    <row r="117" ht="20.1" customHeight="1" s="744">
      <c r="B117" s="785" t="n"/>
      <c r="C117" s="90" t="inlineStr">
        <is>
          <t>CASE-QP1000A-Lavende</t>
        </is>
      </c>
      <c r="D117" s="200" t="inlineStr">
        <is>
          <t>QP1000 실리콘 케이스_라벤더</t>
        </is>
      </c>
      <c r="E117" s="1013" t="n">
        <v>100</v>
      </c>
      <c r="F117" s="1018" t="n"/>
      <c r="G117" s="806" t="n"/>
      <c r="H117" s="789" t="n"/>
      <c r="I117" s="790" t="n"/>
      <c r="J117" s="790" t="n"/>
      <c r="K117" s="171" t="n"/>
      <c r="L117" s="791" t="n"/>
      <c r="M117" s="792" t="n"/>
      <c r="N117" s="792" t="n"/>
      <c r="O117" s="792" t="n"/>
      <c r="P117" s="792" t="n"/>
      <c r="Q117" s="793" t="n"/>
      <c r="R117" s="794" t="n"/>
      <c r="S117" s="795" t="n"/>
      <c r="T117" s="796" t="n"/>
      <c r="U117" s="797" t="n"/>
      <c r="V117" s="798" t="n"/>
      <c r="W117" s="793" t="n"/>
      <c r="X117" s="807" t="n"/>
      <c r="Y117" s="805" t="n"/>
      <c r="Z117" s="805" t="n"/>
      <c r="AA117" s="806" t="n"/>
      <c r="AB117" s="807" t="n"/>
      <c r="AC117" s="805" t="n"/>
      <c r="AD117" s="805" t="n"/>
      <c r="AE117" s="39" t="n"/>
      <c r="AF117" s="910" t="n"/>
    </row>
    <row r="118" ht="20.1" customHeight="1" s="744">
      <c r="B118" s="785" t="n"/>
      <c r="C118" s="90" t="inlineStr">
        <is>
          <t>CASE-QP1000A-Mint</t>
        </is>
      </c>
      <c r="D118" s="200" t="inlineStr">
        <is>
          <t>QP1000 실리콘 케이스_민트</t>
        </is>
      </c>
      <c r="E118" s="1013" t="n">
        <v>100</v>
      </c>
      <c r="F118" s="1018" t="n"/>
      <c r="G118" s="806" t="n"/>
      <c r="H118" s="789" t="n"/>
      <c r="I118" s="790" t="n"/>
      <c r="J118" s="790" t="n"/>
      <c r="K118" s="171" t="n"/>
      <c r="L118" s="823" t="n"/>
      <c r="M118" s="824" t="n"/>
      <c r="N118" s="824" t="n"/>
      <c r="O118" s="824" t="n"/>
      <c r="P118" s="824" t="n"/>
      <c r="Q118" s="825" t="n"/>
      <c r="R118" s="794" t="n"/>
      <c r="S118" s="795" t="n"/>
      <c r="T118" s="826" t="n"/>
      <c r="U118" s="797" t="n"/>
      <c r="V118" s="827" t="n"/>
      <c r="W118" s="825" t="n"/>
      <c r="X118" s="807" t="n"/>
      <c r="Y118" s="805" t="n"/>
      <c r="Z118" s="805" t="n"/>
      <c r="AA118" s="806" t="n"/>
      <c r="AB118" s="807" t="n"/>
      <c r="AC118" s="805" t="n"/>
      <c r="AD118" s="805" t="n"/>
      <c r="AE118" s="39" t="n"/>
      <c r="AF118" s="1024" t="n"/>
    </row>
    <row r="119" ht="20.1" customHeight="1" s="744">
      <c r="B119" s="785" t="n"/>
      <c r="C119" s="90" t="inlineStr">
        <is>
          <t>CASE-QP1000A-Sand</t>
        </is>
      </c>
      <c r="D119" s="200" t="inlineStr">
        <is>
          <t>QP1000 실리콘 케이스_샌드</t>
        </is>
      </c>
      <c r="E119" s="1013" t="n">
        <v>100</v>
      </c>
      <c r="F119" s="1018" t="n"/>
      <c r="G119" s="806" t="n"/>
      <c r="H119" s="789" t="n"/>
      <c r="I119" s="790" t="n"/>
      <c r="J119" s="790" t="n"/>
      <c r="K119" s="171" t="n"/>
      <c r="L119" s="791" t="n"/>
      <c r="M119" s="792" t="n"/>
      <c r="N119" s="792" t="n"/>
      <c r="O119" s="792" t="n"/>
      <c r="P119" s="792" t="n"/>
      <c r="Q119" s="793" t="n"/>
      <c r="R119" s="794" t="n"/>
      <c r="S119" s="795" t="n"/>
      <c r="T119" s="796" t="n"/>
      <c r="U119" s="797" t="n"/>
      <c r="V119" s="798" t="n"/>
      <c r="W119" s="793" t="n"/>
      <c r="X119" s="807" t="n"/>
      <c r="Y119" s="805" t="n"/>
      <c r="Z119" s="805" t="n"/>
      <c r="AA119" s="806" t="n"/>
      <c r="AB119" s="807" t="n"/>
      <c r="AC119" s="805" t="n"/>
      <c r="AD119" s="805" t="n"/>
      <c r="AE119" s="39" t="n"/>
      <c r="AF119" s="1025" t="n"/>
    </row>
    <row r="120" ht="20.1" customHeight="1" s="744">
      <c r="B120" s="785" t="n"/>
      <c r="C120" s="488" t="inlineStr">
        <is>
          <t>CASE-QP1000-Cl-kyobo</t>
        </is>
      </c>
      <c r="D120" s="220" t="inlineStr">
        <is>
          <t>QP1000 실리콘 케이스_투명_교보용</t>
        </is>
      </c>
      <c r="E120" s="999" t="n">
        <v>100</v>
      </c>
      <c r="F120" s="1018" t="n"/>
      <c r="G120" s="986" t="n"/>
      <c r="H120" s="987" t="n"/>
      <c r="I120" s="812" t="n"/>
      <c r="J120" s="812" t="n"/>
      <c r="K120" s="180" t="n"/>
      <c r="L120" s="988" t="n"/>
      <c r="M120" s="989" t="n"/>
      <c r="N120" s="989" t="n"/>
      <c r="O120" s="989" t="n"/>
      <c r="P120" s="989" t="n"/>
      <c r="Q120" s="990" t="n"/>
      <c r="R120" s="991" t="n"/>
      <c r="S120" s="992" t="n"/>
      <c r="T120" s="796" t="n"/>
      <c r="U120" s="1026" t="n"/>
      <c r="V120" s="995" t="n"/>
      <c r="W120" s="990" t="n"/>
      <c r="X120" s="996" t="n"/>
      <c r="Y120" s="997" t="n"/>
      <c r="Z120" s="997" t="n"/>
      <c r="AA120" s="986" t="n"/>
      <c r="AB120" s="996" t="n"/>
      <c r="AC120" s="997" t="n"/>
      <c r="AD120" s="997" t="n"/>
      <c r="AE120" s="256" t="n"/>
      <c r="AF120" s="1027" t="n"/>
    </row>
    <row r="121" ht="20.1" customHeight="1" s="744">
      <c r="B121" s="785" t="n"/>
      <c r="C121" s="488" t="inlineStr">
        <is>
          <t>CASE-QP1000C-Hand-Bl</t>
        </is>
      </c>
      <c r="D121" s="220" t="inlineStr">
        <is>
          <t>QP1000 실리콘 케이스_핸디형_블루</t>
        </is>
      </c>
      <c r="E121" s="999" t="n">
        <v>100</v>
      </c>
      <c r="F121" s="1018" t="n"/>
      <c r="G121" s="986" t="n"/>
      <c r="H121" s="987" t="n"/>
      <c r="I121" s="812" t="n"/>
      <c r="J121" s="812" t="n"/>
      <c r="K121" s="180" t="n"/>
      <c r="L121" s="1028" t="n"/>
      <c r="M121" s="1029" t="n"/>
      <c r="N121" s="1029" t="n"/>
      <c r="O121" s="1029" t="n"/>
      <c r="P121" s="1029" t="n"/>
      <c r="Q121" s="1030" t="n"/>
      <c r="R121" s="991" t="n"/>
      <c r="S121" s="992" t="n"/>
      <c r="T121" s="826" t="n"/>
      <c r="U121" s="1026" t="n"/>
      <c r="V121" s="1031" t="n"/>
      <c r="W121" s="1030" t="n"/>
      <c r="X121" s="996" t="n"/>
      <c r="Y121" s="997" t="n"/>
      <c r="Z121" s="997" t="n"/>
      <c r="AA121" s="986" t="n"/>
      <c r="AB121" s="996" t="n"/>
      <c r="AC121" s="997" t="n"/>
      <c r="AD121" s="997" t="n"/>
      <c r="AE121" s="256" t="n"/>
      <c r="AF121" s="1027" t="n"/>
    </row>
    <row r="122" ht="20.1" customFormat="1" customHeight="1" s="125">
      <c r="B122" s="785" t="n"/>
      <c r="C122" s="488" t="inlineStr">
        <is>
          <t>CASE-QP1000C-Hand-Cl</t>
        </is>
      </c>
      <c r="D122" s="220" t="inlineStr">
        <is>
          <t>QP1000 실리콘 케이스_핸디형_클라우드</t>
        </is>
      </c>
      <c r="E122" s="999" t="n">
        <v>100</v>
      </c>
      <c r="F122" s="1018" t="n"/>
      <c r="G122" s="986" t="n"/>
      <c r="H122" s="987" t="n"/>
      <c r="I122" s="812" t="n"/>
      <c r="J122" s="812" t="n"/>
      <c r="K122" s="180" t="n"/>
      <c r="L122" s="1028" t="n"/>
      <c r="M122" s="1029" t="n"/>
      <c r="N122" s="1029" t="n"/>
      <c r="O122" s="1029" t="n"/>
      <c r="P122" s="1029" t="n"/>
      <c r="Q122" s="1030" t="n"/>
      <c r="R122" s="991" t="n"/>
      <c r="S122" s="992" t="n"/>
      <c r="T122" s="826" t="n"/>
      <c r="U122" s="1026" t="n"/>
      <c r="V122" s="1031" t="n"/>
      <c r="W122" s="1030" t="n"/>
      <c r="X122" s="996" t="n"/>
      <c r="Y122" s="997" t="n"/>
      <c r="Z122" s="997" t="n"/>
      <c r="AA122" s="986" t="n"/>
      <c r="AB122" s="996" t="n"/>
      <c r="AC122" s="997" t="n"/>
      <c r="AD122" s="997" t="n"/>
      <c r="AE122" s="256" t="n"/>
      <c r="AF122" s="1027" t="n"/>
    </row>
    <row r="123" ht="20.1" customFormat="1" customHeight="1" s="125">
      <c r="B123" s="785" t="n"/>
      <c r="C123" s="488" t="inlineStr">
        <is>
          <t>CASE-QP1000C-Hand-Eb</t>
        </is>
      </c>
      <c r="D123" s="220" t="inlineStr">
        <is>
          <t>QP1000 실리콘 케이스_핸디형_에보니</t>
        </is>
      </c>
      <c r="E123" s="999" t="n">
        <v>100</v>
      </c>
      <c r="F123" s="1018" t="n"/>
      <c r="G123" s="986" t="n"/>
      <c r="H123" s="987" t="n"/>
      <c r="I123" s="812" t="n"/>
      <c r="J123" s="812" t="n"/>
      <c r="K123" s="180" t="n"/>
      <c r="L123" s="1028" t="n"/>
      <c r="M123" s="1029" t="n"/>
      <c r="N123" s="1029" t="n"/>
      <c r="O123" s="1029" t="n"/>
      <c r="P123" s="1029" t="n"/>
      <c r="Q123" s="1030" t="n"/>
      <c r="R123" s="991" t="n"/>
      <c r="S123" s="992" t="n"/>
      <c r="T123" s="826" t="n"/>
      <c r="U123" s="1026" t="n"/>
      <c r="V123" s="1031" t="n"/>
      <c r="W123" s="1030" t="n"/>
      <c r="X123" s="996" t="n"/>
      <c r="Y123" s="997" t="n"/>
      <c r="Z123" s="997" t="n"/>
      <c r="AA123" s="986" t="n"/>
      <c r="AB123" s="996" t="n"/>
      <c r="AC123" s="997" t="n"/>
      <c r="AD123" s="997" t="n"/>
      <c r="AE123" s="256" t="n"/>
      <c r="AF123" s="1027" t="n"/>
    </row>
    <row r="124" ht="20.1" customFormat="1" customHeight="1" s="125">
      <c r="B124" s="785" t="n"/>
      <c r="C124" s="488" t="inlineStr">
        <is>
          <t>CASE-QP1000C-Hand-Gr</t>
        </is>
      </c>
      <c r="D124" s="220" t="inlineStr">
        <is>
          <t>QP1000 실리콘 케이스_핸디형_그린</t>
        </is>
      </c>
      <c r="E124" s="999" t="n">
        <v>100</v>
      </c>
      <c r="F124" s="1018" t="n"/>
      <c r="G124" s="986" t="n"/>
      <c r="H124" s="987" t="n"/>
      <c r="I124" s="812" t="n"/>
      <c r="J124" s="812" t="n"/>
      <c r="K124" s="180" t="n"/>
      <c r="L124" s="1028" t="n"/>
      <c r="M124" s="1029" t="n"/>
      <c r="N124" s="1029" t="n"/>
      <c r="O124" s="1029" t="n"/>
      <c r="P124" s="1029" t="n"/>
      <c r="Q124" s="1030" t="n"/>
      <c r="R124" s="991" t="n"/>
      <c r="S124" s="992" t="n"/>
      <c r="T124" s="826" t="n"/>
      <c r="U124" s="1026" t="n"/>
      <c r="V124" s="1031" t="n"/>
      <c r="W124" s="1030" t="n"/>
      <c r="X124" s="996" t="n"/>
      <c r="Y124" s="997" t="n"/>
      <c r="Z124" s="997" t="n"/>
      <c r="AA124" s="986" t="n"/>
      <c r="AB124" s="996" t="n"/>
      <c r="AC124" s="997" t="n"/>
      <c r="AD124" s="997" t="n"/>
      <c r="AE124" s="256" t="n"/>
      <c r="AF124" s="1027" t="n"/>
    </row>
    <row r="125" ht="20.1" customFormat="1" customHeight="1" s="125">
      <c r="B125" s="785" t="n"/>
      <c r="C125" s="488" t="inlineStr">
        <is>
          <t>CASE-QP1000C-Hand-La</t>
        </is>
      </c>
      <c r="D125" s="220" t="inlineStr">
        <is>
          <t>QP1000 실리콘 케이스_핸디형_라벤더</t>
        </is>
      </c>
      <c r="E125" s="999" t="n">
        <v>100</v>
      </c>
      <c r="F125" s="1018" t="n"/>
      <c r="G125" s="986" t="n"/>
      <c r="H125" s="987" t="n"/>
      <c r="I125" s="812" t="n"/>
      <c r="J125" s="812" t="n"/>
      <c r="K125" s="180" t="n"/>
      <c r="L125" s="1028" t="n"/>
      <c r="M125" s="1029" t="n"/>
      <c r="N125" s="1029" t="n"/>
      <c r="O125" s="1029" t="n"/>
      <c r="P125" s="1029" t="n"/>
      <c r="Q125" s="1030" t="n"/>
      <c r="R125" s="991" t="n"/>
      <c r="S125" s="992" t="n"/>
      <c r="T125" s="826" t="n"/>
      <c r="U125" s="1026" t="n"/>
      <c r="V125" s="1031" t="n"/>
      <c r="W125" s="1030" t="n"/>
      <c r="X125" s="996" t="n"/>
      <c r="Y125" s="997" t="n"/>
      <c r="Z125" s="997" t="n"/>
      <c r="AA125" s="986" t="n"/>
      <c r="AB125" s="996" t="n"/>
      <c r="AC125" s="997" t="n"/>
      <c r="AD125" s="997" t="n"/>
      <c r="AE125" s="256" t="n"/>
      <c r="AF125" s="1027" t="n"/>
    </row>
    <row r="126" ht="20.1" customFormat="1" customHeight="1" s="125">
      <c r="B126" s="785" t="n"/>
      <c r="C126" s="577" t="inlineStr">
        <is>
          <t>CASE-QP1000C-Hand-Mi</t>
        </is>
      </c>
      <c r="D126" s="578" t="inlineStr">
        <is>
          <t>QP1000 실리콘 케이스_핸디형_민트</t>
        </is>
      </c>
      <c r="E126" s="1032" t="n">
        <v>100</v>
      </c>
      <c r="F126" s="1033" t="n"/>
      <c r="G126" s="1034" t="n"/>
      <c r="H126" s="1035" t="n"/>
      <c r="I126" s="1036" t="n"/>
      <c r="J126" s="1036" t="n"/>
      <c r="K126" s="586" t="n"/>
      <c r="L126" s="1037" t="n"/>
      <c r="M126" s="1038" t="n"/>
      <c r="N126" s="1038" t="n"/>
      <c r="O126" s="1038" t="n"/>
      <c r="P126" s="1038" t="n"/>
      <c r="Q126" s="1039" t="n"/>
      <c r="R126" s="1040" t="n"/>
      <c r="S126" s="1041" t="n"/>
      <c r="T126" s="1042" t="n"/>
      <c r="U126" s="1043" t="n"/>
      <c r="V126" s="1044" t="n"/>
      <c r="W126" s="1039" t="n"/>
      <c r="X126" s="1045" t="n"/>
      <c r="Y126" s="1046" t="n"/>
      <c r="Z126" s="1046" t="n"/>
      <c r="AA126" s="1034" t="n"/>
      <c r="AB126" s="1045" t="n"/>
      <c r="AC126" s="1046" t="n"/>
      <c r="AD126" s="1046" t="n"/>
      <c r="AE126" s="597" t="n"/>
      <c r="AF126" s="1047" t="n"/>
    </row>
    <row r="127" ht="20.1" customFormat="1" customHeight="1" s="125">
      <c r="B127" s="785" t="n"/>
      <c r="C127" s="488" t="inlineStr">
        <is>
          <t>CASE-QP1000C-Hand-Re</t>
        </is>
      </c>
      <c r="D127" s="220" t="inlineStr">
        <is>
          <t>QP1000 실리콘 케이스_핸디형_레드</t>
        </is>
      </c>
      <c r="E127" s="999" t="n">
        <v>100</v>
      </c>
      <c r="F127" s="1018" t="n"/>
      <c r="G127" s="986" t="n"/>
      <c r="H127" s="987" t="n"/>
      <c r="I127" s="812" t="n"/>
      <c r="J127" s="812" t="n"/>
      <c r="K127" s="180" t="n"/>
      <c r="L127" s="1028" t="n"/>
      <c r="M127" s="1029" t="n"/>
      <c r="N127" s="1029" t="n"/>
      <c r="O127" s="1029" t="n"/>
      <c r="P127" s="1029" t="n"/>
      <c r="Q127" s="1030" t="n"/>
      <c r="R127" s="991" t="n"/>
      <c r="S127" s="992" t="n"/>
      <c r="T127" s="826" t="n"/>
      <c r="U127" s="1026" t="n"/>
      <c r="V127" s="1031" t="n"/>
      <c r="W127" s="1030" t="n"/>
      <c r="X127" s="996" t="n"/>
      <c r="Y127" s="997" t="n"/>
      <c r="Z127" s="997" t="n"/>
      <c r="AA127" s="986" t="n"/>
      <c r="AB127" s="996" t="n"/>
      <c r="AC127" s="997" t="n"/>
      <c r="AD127" s="997" t="n"/>
      <c r="AE127" s="256" t="n"/>
      <c r="AF127" s="1027" t="n"/>
    </row>
    <row r="128" ht="20.1" customFormat="1" customHeight="1" s="125">
      <c r="B128" s="785" t="n"/>
      <c r="C128" s="488" t="inlineStr">
        <is>
          <t>CASE-QP1000C-Hand-Sa</t>
        </is>
      </c>
      <c r="D128" s="220" t="inlineStr">
        <is>
          <t>QP1000 실리콘 케이스_핸디형_샌드</t>
        </is>
      </c>
      <c r="E128" s="999" t="n">
        <v>100</v>
      </c>
      <c r="F128" s="1018" t="n"/>
      <c r="G128" s="986" t="n"/>
      <c r="H128" s="987" t="n"/>
      <c r="I128" s="812" t="n"/>
      <c r="J128" s="812" t="n"/>
      <c r="K128" s="180" t="n"/>
      <c r="L128" s="1028" t="n"/>
      <c r="M128" s="1029" t="n"/>
      <c r="N128" s="1029" t="n"/>
      <c r="O128" s="1029" t="n"/>
      <c r="P128" s="1029" t="n"/>
      <c r="Q128" s="1030" t="n"/>
      <c r="R128" s="991" t="n"/>
      <c r="S128" s="992" t="n"/>
      <c r="T128" s="826" t="n"/>
      <c r="U128" s="1026" t="n"/>
      <c r="V128" s="1031" t="n"/>
      <c r="W128" s="1030" t="n"/>
      <c r="X128" s="996" t="n"/>
      <c r="Y128" s="997" t="n"/>
      <c r="Z128" s="997" t="n"/>
      <c r="AA128" s="986" t="n"/>
      <c r="AB128" s="996" t="n"/>
      <c r="AC128" s="997" t="n"/>
      <c r="AD128" s="997" t="n"/>
      <c r="AE128" s="256" t="n"/>
      <c r="AF128" s="1027" t="n"/>
    </row>
    <row r="129" ht="20.1" customFormat="1" customHeight="1" s="125">
      <c r="B129" s="785" t="n"/>
      <c r="C129" s="488" t="inlineStr">
        <is>
          <t>CASE-QP1000C-Hand-PK</t>
        </is>
      </c>
      <c r="D129" s="220" t="inlineStr">
        <is>
          <t>QP1000 실리콘 케이스_핸디형_핑크</t>
        </is>
      </c>
      <c r="E129" s="999" t="n">
        <v>100</v>
      </c>
      <c r="F129" s="1018" t="n"/>
      <c r="G129" s="986" t="n"/>
      <c r="H129" s="987" t="n"/>
      <c r="I129" s="812" t="n"/>
      <c r="J129" s="812" t="n"/>
      <c r="K129" s="180" t="n"/>
      <c r="L129" s="1028" t="n"/>
      <c r="M129" s="1029" t="n"/>
      <c r="N129" s="1029" t="n"/>
      <c r="O129" s="1029" t="n"/>
      <c r="P129" s="1029" t="n"/>
      <c r="Q129" s="1030" t="n"/>
      <c r="R129" s="991" t="n"/>
      <c r="S129" s="992" t="n"/>
      <c r="T129" s="826" t="n"/>
      <c r="U129" s="1026" t="n"/>
      <c r="V129" s="1031" t="n"/>
      <c r="W129" s="1030" t="n"/>
      <c r="X129" s="996" t="n"/>
      <c r="Y129" s="997" t="n"/>
      <c r="Z129" s="997" t="n"/>
      <c r="AA129" s="986" t="n"/>
      <c r="AB129" s="996" t="n"/>
      <c r="AC129" s="997" t="n"/>
      <c r="AD129" s="997" t="n"/>
      <c r="AE129" s="256" t="n"/>
      <c r="AF129" s="1027" t="n"/>
    </row>
    <row r="130" ht="20.1" customFormat="1" customHeight="1" s="125">
      <c r="B130" s="785" t="n"/>
      <c r="C130" s="488" t="inlineStr">
        <is>
          <t>CASE-QP1000C-Hand-Ye</t>
        </is>
      </c>
      <c r="D130" s="220" t="inlineStr">
        <is>
          <t>QP1000 실리콘 케이스_핸디형_옐로우</t>
        </is>
      </c>
      <c r="E130" s="999" t="n">
        <v>100</v>
      </c>
      <c r="F130" s="1018" t="n"/>
      <c r="G130" s="986" t="n"/>
      <c r="H130" s="987" t="n"/>
      <c r="I130" s="812" t="n"/>
      <c r="J130" s="812" t="n"/>
      <c r="K130" s="180" t="n"/>
      <c r="L130" s="1028" t="n"/>
      <c r="M130" s="1029" t="n"/>
      <c r="N130" s="1029" t="n"/>
      <c r="O130" s="1029" t="n"/>
      <c r="P130" s="1029" t="n"/>
      <c r="Q130" s="1030" t="n"/>
      <c r="R130" s="991" t="n"/>
      <c r="S130" s="992" t="n"/>
      <c r="T130" s="826" t="n"/>
      <c r="U130" s="1026" t="n"/>
      <c r="V130" s="1031" t="n"/>
      <c r="W130" s="1030" t="n"/>
      <c r="X130" s="996" t="n"/>
      <c r="Y130" s="997" t="n"/>
      <c r="Z130" s="997" t="n"/>
      <c r="AA130" s="986" t="n"/>
      <c r="AB130" s="996" t="n"/>
      <c r="AC130" s="997" t="n"/>
      <c r="AD130" s="997" t="n"/>
      <c r="AE130" s="256" t="n"/>
      <c r="AF130" s="1027" t="n"/>
    </row>
    <row r="131" ht="20.1" customFormat="1" customHeight="1" s="125">
      <c r="B131" s="785" t="n"/>
      <c r="C131" s="488" t="inlineStr">
        <is>
          <t>CASE-QP1000-Hand-GlB</t>
        </is>
      </c>
      <c r="D131" s="220" t="inlineStr">
        <is>
          <t>QP1000 실리콘 케이스_핸디형_글로우 블루</t>
        </is>
      </c>
      <c r="E131" s="999" t="n">
        <v>100</v>
      </c>
      <c r="F131" s="1018" t="n"/>
      <c r="G131" s="986" t="n"/>
      <c r="H131" s="987" t="n"/>
      <c r="I131" s="812" t="n"/>
      <c r="J131" s="812" t="n"/>
      <c r="K131" s="180" t="n"/>
      <c r="L131" s="1028" t="n"/>
      <c r="M131" s="1029" t="n"/>
      <c r="N131" s="1029" t="n"/>
      <c r="O131" s="1029" t="n"/>
      <c r="P131" s="1029" t="n"/>
      <c r="Q131" s="1030" t="n"/>
      <c r="R131" s="991" t="n"/>
      <c r="S131" s="992" t="n"/>
      <c r="T131" s="826" t="n"/>
      <c r="U131" s="1026" t="n"/>
      <c r="V131" s="1031" t="n"/>
      <c r="W131" s="1030" t="n"/>
      <c r="X131" s="996" t="n"/>
      <c r="Y131" s="997" t="n"/>
      <c r="Z131" s="997" t="n"/>
      <c r="AA131" s="986" t="n"/>
      <c r="AB131" s="996" t="n"/>
      <c r="AC131" s="997" t="n"/>
      <c r="AD131" s="997" t="n"/>
      <c r="AE131" s="256" t="n"/>
      <c r="AF131" s="1027" t="n"/>
    </row>
    <row r="132" ht="20.1" customFormat="1" customHeight="1" s="125">
      <c r="B132" s="785" t="n"/>
      <c r="C132" s="488" t="inlineStr">
        <is>
          <t>CASE-QP1000-Hand-GlG</t>
        </is>
      </c>
      <c r="D132" s="220" t="inlineStr">
        <is>
          <t>QP1000 실리콘 케이스_핸디형_글로우 그린</t>
        </is>
      </c>
      <c r="E132" s="999" t="n">
        <v>100</v>
      </c>
      <c r="F132" s="1018" t="n"/>
      <c r="G132" s="986" t="n"/>
      <c r="H132" s="987" t="n"/>
      <c r="I132" s="812" t="n"/>
      <c r="J132" s="812" t="n"/>
      <c r="K132" s="180" t="n"/>
      <c r="L132" s="1028" t="n"/>
      <c r="M132" s="1029" t="n"/>
      <c r="N132" s="1029" t="n"/>
      <c r="O132" s="1029" t="n"/>
      <c r="P132" s="1029" t="n"/>
      <c r="Q132" s="1030" t="n"/>
      <c r="R132" s="991" t="n"/>
      <c r="S132" s="992" t="n"/>
      <c r="T132" s="826" t="n"/>
      <c r="U132" s="1026" t="n"/>
      <c r="V132" s="1031" t="n"/>
      <c r="W132" s="1030" t="n"/>
      <c r="X132" s="996" t="n"/>
      <c r="Y132" s="997" t="n"/>
      <c r="Z132" s="997" t="n"/>
      <c r="AA132" s="986" t="n"/>
      <c r="AB132" s="996" t="n"/>
      <c r="AC132" s="997" t="n"/>
      <c r="AD132" s="997" t="n"/>
      <c r="AE132" s="256" t="n"/>
      <c r="AF132" s="1027" t="n"/>
    </row>
    <row r="133" ht="20.1" customFormat="1" customHeight="1" s="125">
      <c r="B133" s="785" t="n"/>
      <c r="C133" s="488" t="inlineStr">
        <is>
          <t>CASE-QP1000-Hand-GlO</t>
        </is>
      </c>
      <c r="D133" s="220" t="inlineStr">
        <is>
          <t>QP1000 실리콘 케이스_핸디형_글로우 오렌지</t>
        </is>
      </c>
      <c r="E133" s="999" t="n">
        <v>100</v>
      </c>
      <c r="F133" s="1018" t="n"/>
      <c r="G133" s="986" t="n"/>
      <c r="H133" s="987" t="n"/>
      <c r="I133" s="812" t="n"/>
      <c r="J133" s="812" t="n"/>
      <c r="K133" s="180" t="n"/>
      <c r="L133" s="1028" t="n"/>
      <c r="M133" s="1029" t="n"/>
      <c r="N133" s="1029" t="n"/>
      <c r="O133" s="1029" t="n"/>
      <c r="P133" s="1029" t="n"/>
      <c r="Q133" s="1030" t="n"/>
      <c r="R133" s="991" t="n"/>
      <c r="S133" s="992" t="n"/>
      <c r="T133" s="826" t="n"/>
      <c r="U133" s="1026" t="n"/>
      <c r="V133" s="1031" t="n"/>
      <c r="W133" s="1030" t="n"/>
      <c r="X133" s="996" t="n"/>
      <c r="Y133" s="997" t="n"/>
      <c r="Z133" s="997" t="n"/>
      <c r="AA133" s="986" t="n"/>
      <c r="AB133" s="996" t="n"/>
      <c r="AC133" s="997" t="n"/>
      <c r="AD133" s="997" t="n"/>
      <c r="AE133" s="256" t="n"/>
      <c r="AF133" s="1027" t="n"/>
    </row>
    <row r="134" ht="20.1" customFormat="1" customHeight="1" s="125">
      <c r="B134" s="785" t="n"/>
      <c r="C134" s="488" t="inlineStr">
        <is>
          <t>CASE-QP1000-Hand-GlY</t>
        </is>
      </c>
      <c r="D134" s="220" t="inlineStr">
        <is>
          <t>QP1000 실리콘 케이스_핸디형_글로우 옐로우</t>
        </is>
      </c>
      <c r="E134" s="999" t="n">
        <v>100</v>
      </c>
      <c r="F134" s="1018" t="n"/>
      <c r="G134" s="986" t="n"/>
      <c r="H134" s="987" t="n"/>
      <c r="I134" s="812" t="n"/>
      <c r="J134" s="812" t="n"/>
      <c r="K134" s="180" t="n"/>
      <c r="L134" s="1028" t="n"/>
      <c r="M134" s="1029" t="n"/>
      <c r="N134" s="1029" t="n"/>
      <c r="O134" s="1029" t="n"/>
      <c r="P134" s="1029" t="n"/>
      <c r="Q134" s="1030" t="n"/>
      <c r="R134" s="991" t="n"/>
      <c r="S134" s="992" t="n"/>
      <c r="T134" s="826" t="n"/>
      <c r="U134" s="1026" t="n"/>
      <c r="V134" s="1031" t="n"/>
      <c r="W134" s="1030" t="n"/>
      <c r="X134" s="996" t="n"/>
      <c r="Y134" s="997" t="n"/>
      <c r="Z134" s="997" t="n"/>
      <c r="AA134" s="986" t="n"/>
      <c r="AB134" s="996" t="n"/>
      <c r="AC134" s="997" t="n"/>
      <c r="AD134" s="997" t="n"/>
      <c r="AE134" s="256" t="n"/>
      <c r="AF134" s="1027" t="n"/>
    </row>
    <row r="135" ht="20.1" customFormat="1" customHeight="1" s="125">
      <c r="B135" s="785" t="n"/>
      <c r="C135" s="488" t="inlineStr">
        <is>
          <t>CASE-QP2000C-Blue</t>
        </is>
      </c>
      <c r="D135" s="220" t="inlineStr">
        <is>
          <t>QP2000 실리콘 케이스_블루</t>
        </is>
      </c>
      <c r="E135" s="999" t="n">
        <v>100</v>
      </c>
      <c r="F135" s="1018" t="n"/>
      <c r="G135" s="986" t="n"/>
      <c r="H135" s="987" t="n"/>
      <c r="I135" s="812" t="n"/>
      <c r="J135" s="812" t="n"/>
      <c r="K135" s="180" t="n"/>
      <c r="L135" s="1028" t="n"/>
      <c r="M135" s="1029" t="n"/>
      <c r="N135" s="1029" t="n"/>
      <c r="O135" s="1029" t="n"/>
      <c r="P135" s="1029" t="n"/>
      <c r="Q135" s="1030" t="n"/>
      <c r="R135" s="991" t="n"/>
      <c r="S135" s="992" t="n"/>
      <c r="T135" s="826" t="n"/>
      <c r="U135" s="1026" t="n"/>
      <c r="V135" s="1031" t="n"/>
      <c r="W135" s="1030" t="n"/>
      <c r="X135" s="996" t="n"/>
      <c r="Y135" s="997" t="n"/>
      <c r="Z135" s="997" t="n"/>
      <c r="AA135" s="986" t="n"/>
      <c r="AB135" s="996" t="n"/>
      <c r="AC135" s="997" t="n"/>
      <c r="AD135" s="997" t="n"/>
      <c r="AE135" s="256" t="n"/>
      <c r="AF135" s="1027" t="n"/>
    </row>
    <row r="136" ht="20.1" customFormat="1" customHeight="1" s="125">
      <c r="B136" s="785" t="n"/>
      <c r="C136" s="488" t="inlineStr">
        <is>
          <t>CASE-QP2000C-Cloud</t>
        </is>
      </c>
      <c r="D136" s="220" t="inlineStr">
        <is>
          <t>QP2000 실리콘 케이스_클라우드</t>
        </is>
      </c>
      <c r="E136" s="999" t="n">
        <v>100</v>
      </c>
      <c r="F136" s="1018" t="n"/>
      <c r="G136" s="986" t="n"/>
      <c r="H136" s="987" t="n"/>
      <c r="I136" s="812" t="n"/>
      <c r="J136" s="812" t="n"/>
      <c r="K136" s="180" t="n"/>
      <c r="L136" s="1028" t="n"/>
      <c r="M136" s="1029" t="n"/>
      <c r="N136" s="1029" t="n"/>
      <c r="O136" s="1029" t="n"/>
      <c r="P136" s="1029" t="n"/>
      <c r="Q136" s="1030" t="n"/>
      <c r="R136" s="991" t="n"/>
      <c r="S136" s="992" t="n"/>
      <c r="T136" s="826" t="n"/>
      <c r="U136" s="1026" t="n"/>
      <c r="V136" s="1031" t="n"/>
      <c r="W136" s="1030" t="n"/>
      <c r="X136" s="996" t="n"/>
      <c r="Y136" s="997" t="n"/>
      <c r="Z136" s="997" t="n"/>
      <c r="AA136" s="986" t="n"/>
      <c r="AB136" s="996" t="n"/>
      <c r="AC136" s="997" t="n"/>
      <c r="AD136" s="997" t="n"/>
      <c r="AE136" s="256" t="n"/>
      <c r="AF136" s="1027" t="n"/>
    </row>
    <row r="137" ht="20.1" customFormat="1" customHeight="1" s="125">
      <c r="B137" s="785" t="n"/>
      <c r="C137" s="488" t="inlineStr">
        <is>
          <t>CASE-QP2000C-Ebony</t>
        </is>
      </c>
      <c r="D137" s="220" t="inlineStr">
        <is>
          <t>QP2000 실리콘 케이스_에보니</t>
        </is>
      </c>
      <c r="E137" s="999" t="n">
        <v>100</v>
      </c>
      <c r="F137" s="1048" t="n"/>
      <c r="G137" s="986" t="n"/>
      <c r="H137" s="987" t="n"/>
      <c r="I137" s="812" t="n"/>
      <c r="J137" s="812" t="n"/>
      <c r="K137" s="180" t="n"/>
      <c r="L137" s="1028" t="n"/>
      <c r="M137" s="1029" t="n"/>
      <c r="N137" s="1029" t="n"/>
      <c r="O137" s="1029" t="n"/>
      <c r="P137" s="1029" t="n"/>
      <c r="Q137" s="1030" t="n"/>
      <c r="R137" s="991" t="n"/>
      <c r="S137" s="992" t="n"/>
      <c r="T137" s="826" t="n"/>
      <c r="U137" s="1026" t="n"/>
      <c r="V137" s="1031" t="n"/>
      <c r="W137" s="1030" t="n"/>
      <c r="X137" s="996" t="n"/>
      <c r="Y137" s="997" t="n"/>
      <c r="Z137" s="997" t="n"/>
      <c r="AA137" s="986" t="n"/>
      <c r="AB137" s="996" t="n"/>
      <c r="AC137" s="997" t="n"/>
      <c r="AD137" s="997" t="n"/>
      <c r="AE137" s="256" t="n"/>
      <c r="AF137" s="1027" t="n"/>
    </row>
    <row r="138" ht="20.1" customFormat="1" customHeight="1" s="125">
      <c r="B138" s="785" t="n"/>
      <c r="C138" s="488" t="inlineStr">
        <is>
          <t>CASE-QP2000C-Green</t>
        </is>
      </c>
      <c r="D138" s="220" t="inlineStr">
        <is>
          <t>QP2000 실리콘 케이스_그린</t>
        </is>
      </c>
      <c r="E138" s="999" t="n">
        <v>100</v>
      </c>
      <c r="F138" s="1018" t="n"/>
      <c r="G138" s="986" t="n"/>
      <c r="H138" s="987" t="n"/>
      <c r="I138" s="812" t="n"/>
      <c r="J138" s="812" t="n"/>
      <c r="K138" s="180" t="n"/>
      <c r="L138" s="1028" t="n"/>
      <c r="M138" s="1029" t="n"/>
      <c r="N138" s="1029" t="n"/>
      <c r="O138" s="1029" t="n"/>
      <c r="P138" s="1029" t="n"/>
      <c r="Q138" s="1030" t="n"/>
      <c r="R138" s="991" t="n"/>
      <c r="S138" s="992" t="n"/>
      <c r="T138" s="826" t="n"/>
      <c r="U138" s="1026" t="n"/>
      <c r="V138" s="1031" t="n"/>
      <c r="W138" s="1030" t="n"/>
      <c r="X138" s="996" t="n"/>
      <c r="Y138" s="997" t="n"/>
      <c r="Z138" s="997" t="n"/>
      <c r="AA138" s="986" t="n"/>
      <c r="AB138" s="996" t="n"/>
      <c r="AC138" s="997" t="n"/>
      <c r="AD138" s="997" t="n"/>
      <c r="AE138" s="256" t="n"/>
      <c r="AF138" s="1027" t="n"/>
    </row>
    <row r="139" ht="20.1" customFormat="1" customHeight="1" s="125">
      <c r="B139" s="785" t="n"/>
      <c r="C139" s="488" t="inlineStr">
        <is>
          <t>CASE-QP2000C-Lavende</t>
        </is>
      </c>
      <c r="D139" s="220" t="inlineStr">
        <is>
          <t>QP2000 실리콘 케이스_라벤더</t>
        </is>
      </c>
      <c r="E139" s="999" t="n">
        <v>100</v>
      </c>
      <c r="F139" s="1018" t="n"/>
      <c r="G139" s="986" t="n"/>
      <c r="H139" s="987" t="n"/>
      <c r="I139" s="812" t="n"/>
      <c r="J139" s="812" t="n"/>
      <c r="K139" s="180" t="n"/>
      <c r="L139" s="1028" t="n"/>
      <c r="M139" s="1029" t="n"/>
      <c r="N139" s="1029" t="n"/>
      <c r="O139" s="1029" t="n"/>
      <c r="P139" s="1029" t="n"/>
      <c r="Q139" s="1030" t="n"/>
      <c r="R139" s="991" t="n"/>
      <c r="S139" s="992" t="n"/>
      <c r="T139" s="826" t="n"/>
      <c r="U139" s="1026" t="n"/>
      <c r="V139" s="1031" t="n"/>
      <c r="W139" s="1030" t="n"/>
      <c r="X139" s="996" t="n"/>
      <c r="Y139" s="997" t="n"/>
      <c r="Z139" s="997" t="n"/>
      <c r="AA139" s="986" t="n"/>
      <c r="AB139" s="996" t="n"/>
      <c r="AC139" s="997" t="n"/>
      <c r="AD139" s="997" t="n"/>
      <c r="AE139" s="256" t="n"/>
      <c r="AF139" s="1027" t="n"/>
    </row>
    <row r="140" ht="20.1" customFormat="1" customHeight="1" s="125">
      <c r="B140" s="785" t="n"/>
      <c r="C140" s="577" t="inlineStr">
        <is>
          <t>CASE-QP2000C-Mint</t>
        </is>
      </c>
      <c r="D140" s="578" t="inlineStr">
        <is>
          <t>QP2000 실리콘 케이스_민트</t>
        </is>
      </c>
      <c r="E140" s="1032" t="n">
        <v>100</v>
      </c>
      <c r="F140" s="1033" t="n"/>
      <c r="G140" s="1034" t="n"/>
      <c r="H140" s="1035" t="n"/>
      <c r="I140" s="1036" t="n"/>
      <c r="J140" s="1036" t="n"/>
      <c r="K140" s="586" t="n"/>
      <c r="L140" s="1037" t="n"/>
      <c r="M140" s="1038" t="n"/>
      <c r="N140" s="1038" t="n"/>
      <c r="O140" s="1038" t="n"/>
      <c r="P140" s="1038" t="n"/>
      <c r="Q140" s="1039" t="n"/>
      <c r="R140" s="1040" t="n"/>
      <c r="S140" s="1041" t="n"/>
      <c r="T140" s="1042" t="n"/>
      <c r="U140" s="1043" t="n"/>
      <c r="V140" s="1044" t="n"/>
      <c r="W140" s="1039" t="n"/>
      <c r="X140" s="1045" t="n"/>
      <c r="Y140" s="1046" t="n"/>
      <c r="Z140" s="1046" t="n"/>
      <c r="AA140" s="1034" t="n"/>
      <c r="AB140" s="1045" t="n"/>
      <c r="AC140" s="1046" t="n"/>
      <c r="AD140" s="1046" t="n"/>
      <c r="AE140" s="597" t="n"/>
      <c r="AF140" s="1047" t="n"/>
    </row>
    <row r="141" ht="20.1" customFormat="1" customHeight="1" s="125">
      <c r="B141" s="785" t="n"/>
      <c r="C141" s="488" t="inlineStr">
        <is>
          <t>CASE-QP2000C-Red</t>
        </is>
      </c>
      <c r="D141" s="220" t="inlineStr">
        <is>
          <t>QP2000 실리콘 케이스_레드</t>
        </is>
      </c>
      <c r="E141" s="999" t="n">
        <v>100</v>
      </c>
      <c r="F141" s="1018" t="n"/>
      <c r="G141" s="986" t="n"/>
      <c r="H141" s="987" t="n"/>
      <c r="I141" s="812" t="n"/>
      <c r="J141" s="812" t="n"/>
      <c r="K141" s="180" t="n"/>
      <c r="L141" s="1028" t="n"/>
      <c r="M141" s="1029" t="n"/>
      <c r="N141" s="1029" t="n"/>
      <c r="O141" s="1029" t="n"/>
      <c r="P141" s="1029" t="n"/>
      <c r="Q141" s="1030" t="n"/>
      <c r="R141" s="991" t="n"/>
      <c r="S141" s="992" t="n"/>
      <c r="T141" s="826" t="n"/>
      <c r="U141" s="1026" t="n"/>
      <c r="V141" s="1031" t="n"/>
      <c r="W141" s="1030" t="n"/>
      <c r="X141" s="996" t="n"/>
      <c r="Y141" s="997" t="n"/>
      <c r="Z141" s="997" t="n"/>
      <c r="AA141" s="986" t="n"/>
      <c r="AB141" s="996" t="n"/>
      <c r="AC141" s="997" t="n"/>
      <c r="AD141" s="997" t="n"/>
      <c r="AE141" s="256" t="n"/>
      <c r="AF141" s="1027" t="n"/>
    </row>
    <row r="142" ht="20.1" customFormat="1" customHeight="1" s="125">
      <c r="B142" s="785" t="n"/>
      <c r="C142" s="488" t="inlineStr">
        <is>
          <t>CASE-QP2000C-Sand</t>
        </is>
      </c>
      <c r="D142" s="220" t="inlineStr">
        <is>
          <t>QP2000 실리콘 케이스_샌드</t>
        </is>
      </c>
      <c r="E142" s="999" t="n">
        <v>100</v>
      </c>
      <c r="F142" s="1018" t="n"/>
      <c r="G142" s="986" t="n"/>
      <c r="H142" s="987" t="n"/>
      <c r="I142" s="812" t="n"/>
      <c r="J142" s="812" t="n"/>
      <c r="K142" s="180" t="n"/>
      <c r="L142" s="1028" t="n"/>
      <c r="M142" s="1029" t="n"/>
      <c r="N142" s="1029" t="n"/>
      <c r="O142" s="1029" t="n"/>
      <c r="P142" s="1029" t="n"/>
      <c r="Q142" s="1030" t="n"/>
      <c r="R142" s="991" t="n"/>
      <c r="S142" s="992" t="n"/>
      <c r="T142" s="826" t="n"/>
      <c r="U142" s="1026" t="n"/>
      <c r="V142" s="1031" t="n"/>
      <c r="W142" s="1030" t="n"/>
      <c r="X142" s="996" t="n"/>
      <c r="Y142" s="997" t="n"/>
      <c r="Z142" s="997" t="n"/>
      <c r="AA142" s="986" t="n"/>
      <c r="AB142" s="996" t="n"/>
      <c r="AC142" s="997" t="n"/>
      <c r="AD142" s="997" t="n"/>
      <c r="AE142" s="256" t="n"/>
      <c r="AF142" s="1027" t="n"/>
    </row>
    <row r="143" ht="20.1" customFormat="1" customHeight="1" s="125">
      <c r="B143" s="785" t="n"/>
      <c r="C143" s="488" t="inlineStr">
        <is>
          <t>CASE-QP2000C-PINK</t>
        </is>
      </c>
      <c r="D143" s="220" t="inlineStr">
        <is>
          <t>QP2000 실리콘 케이스_핑크</t>
        </is>
      </c>
      <c r="E143" s="999" t="n">
        <v>100</v>
      </c>
      <c r="F143" s="1018" t="n"/>
      <c r="G143" s="986" t="n"/>
      <c r="H143" s="987" t="n"/>
      <c r="I143" s="812" t="n"/>
      <c r="J143" s="812" t="n"/>
      <c r="K143" s="180" t="n"/>
      <c r="L143" s="1028" t="n"/>
      <c r="M143" s="1029" t="n"/>
      <c r="N143" s="1029" t="n"/>
      <c r="O143" s="1029" t="n"/>
      <c r="P143" s="1029" t="n"/>
      <c r="Q143" s="1030" t="n"/>
      <c r="R143" s="991" t="n"/>
      <c r="S143" s="992" t="n"/>
      <c r="T143" s="826" t="n"/>
      <c r="U143" s="1026" t="n"/>
      <c r="V143" s="1031" t="n"/>
      <c r="W143" s="1030" t="n"/>
      <c r="X143" s="996" t="n"/>
      <c r="Y143" s="997" t="n"/>
      <c r="Z143" s="997" t="n"/>
      <c r="AA143" s="986" t="n"/>
      <c r="AB143" s="996" t="n"/>
      <c r="AC143" s="997" t="n"/>
      <c r="AD143" s="997" t="n"/>
      <c r="AE143" s="256" t="n"/>
      <c r="AF143" s="1027" t="n"/>
    </row>
    <row r="144" ht="20.1" customFormat="1" customHeight="1" s="125">
      <c r="B144" s="785" t="n"/>
      <c r="C144" s="488" t="inlineStr">
        <is>
          <t>CASE-QP2000C-Yellow</t>
        </is>
      </c>
      <c r="D144" s="220" t="inlineStr">
        <is>
          <t>QP2000 실리콘 케이스_옐로우</t>
        </is>
      </c>
      <c r="E144" s="999" t="n">
        <v>100</v>
      </c>
      <c r="F144" s="1018" t="n"/>
      <c r="G144" s="986" t="n"/>
      <c r="H144" s="987" t="n"/>
      <c r="I144" s="812" t="n"/>
      <c r="J144" s="812" t="n"/>
      <c r="K144" s="180" t="n"/>
      <c r="L144" s="1028" t="n"/>
      <c r="M144" s="1029" t="n"/>
      <c r="N144" s="1029" t="n"/>
      <c r="O144" s="1029" t="n"/>
      <c r="P144" s="1029" t="n"/>
      <c r="Q144" s="1030" t="n"/>
      <c r="R144" s="991" t="n"/>
      <c r="S144" s="992" t="n"/>
      <c r="T144" s="826" t="n"/>
      <c r="U144" s="1026" t="n"/>
      <c r="V144" s="1031" t="n"/>
      <c r="W144" s="1030" t="n"/>
      <c r="X144" s="996" t="n"/>
      <c r="Y144" s="997" t="n"/>
      <c r="Z144" s="997" t="n"/>
      <c r="AA144" s="986" t="n"/>
      <c r="AB144" s="996" t="n"/>
      <c r="AC144" s="997" t="n"/>
      <c r="AD144" s="997" t="n"/>
      <c r="AE144" s="256" t="n"/>
      <c r="AF144" s="1027" t="n"/>
    </row>
    <row r="145" ht="20.1" customFormat="1" customHeight="1" s="125">
      <c r="B145" s="785" t="n"/>
      <c r="C145" s="488" t="inlineStr">
        <is>
          <t>CASE-QP2000-Cl-kyobo</t>
        </is>
      </c>
      <c r="D145" s="220" t="inlineStr">
        <is>
          <t>QP2000 실리콘 케이스_투명_교보용</t>
        </is>
      </c>
      <c r="E145" s="999" t="n">
        <v>100</v>
      </c>
      <c r="F145" s="1018" t="n"/>
      <c r="G145" s="986" t="n"/>
      <c r="H145" s="987" t="n"/>
      <c r="I145" s="812" t="n"/>
      <c r="J145" s="812" t="n"/>
      <c r="K145" s="180" t="n"/>
      <c r="L145" s="1028" t="n"/>
      <c r="M145" s="1029" t="n"/>
      <c r="N145" s="1029" t="n"/>
      <c r="O145" s="1029" t="n"/>
      <c r="P145" s="1029" t="n"/>
      <c r="Q145" s="1030" t="n"/>
      <c r="R145" s="991" t="n"/>
      <c r="S145" s="992" t="n"/>
      <c r="T145" s="826" t="n"/>
      <c r="U145" s="1026" t="n"/>
      <c r="V145" s="1031" t="n"/>
      <c r="W145" s="1030" t="n"/>
      <c r="X145" s="996" t="n"/>
      <c r="Y145" s="997" t="n"/>
      <c r="Z145" s="997" t="n"/>
      <c r="AA145" s="986" t="n"/>
      <c r="AB145" s="996" t="n"/>
      <c r="AC145" s="997" t="n"/>
      <c r="AD145" s="997" t="n"/>
      <c r="AE145" s="256" t="n"/>
      <c r="AF145" s="1027" t="n"/>
    </row>
    <row r="146" ht="20.1" customFormat="1" customHeight="1" s="125">
      <c r="B146" s="785" t="n"/>
      <c r="C146" s="577" t="inlineStr">
        <is>
          <t>CASE-QP2000C_Hand_La</t>
        </is>
      </c>
      <c r="D146" s="578" t="inlineStr">
        <is>
          <t>QP2000C 실리콘 케이스 핸디형 라벤더</t>
        </is>
      </c>
      <c r="E146" s="1032" t="n">
        <v>100</v>
      </c>
      <c r="F146" s="1033" t="n"/>
      <c r="G146" s="1034" t="n"/>
      <c r="H146" s="1035" t="n"/>
      <c r="I146" s="1036" t="n"/>
      <c r="J146" s="1036" t="n"/>
      <c r="K146" s="586" t="n"/>
      <c r="L146" s="1037" t="n"/>
      <c r="M146" s="1038" t="n"/>
      <c r="N146" s="1038" t="n"/>
      <c r="O146" s="1038" t="n"/>
      <c r="P146" s="1038" t="n"/>
      <c r="Q146" s="1039" t="n"/>
      <c r="R146" s="1040" t="n"/>
      <c r="S146" s="1041" t="n"/>
      <c r="T146" s="1042" t="n"/>
      <c r="U146" s="1043" t="n"/>
      <c r="V146" s="1044" t="n"/>
      <c r="W146" s="1039" t="n"/>
      <c r="X146" s="1045" t="n"/>
      <c r="Y146" s="1046" t="n"/>
      <c r="Z146" s="1046" t="n"/>
      <c r="AA146" s="1034" t="n"/>
      <c r="AB146" s="1045" t="n"/>
      <c r="AC146" s="1046" t="n"/>
      <c r="AD146" s="1046" t="n"/>
      <c r="AE146" s="597" t="n"/>
      <c r="AF146" s="1047" t="n"/>
    </row>
    <row r="147" ht="20.1" customFormat="1" customHeight="1" s="125">
      <c r="B147" s="785" t="n"/>
      <c r="C147" s="577" t="inlineStr">
        <is>
          <t>CASE-QP2000C_Hand_Mi</t>
        </is>
      </c>
      <c r="D147" s="578" t="inlineStr">
        <is>
          <t>QP2000C 실리콘 케이스 핸디형 민트</t>
        </is>
      </c>
      <c r="E147" s="1032" t="n">
        <v>100</v>
      </c>
      <c r="F147" s="1033" t="n"/>
      <c r="G147" s="1034" t="n"/>
      <c r="H147" s="1035" t="n"/>
      <c r="I147" s="1036" t="n"/>
      <c r="J147" s="1036" t="n"/>
      <c r="K147" s="586" t="n"/>
      <c r="L147" s="1037" t="n"/>
      <c r="M147" s="1038" t="n"/>
      <c r="N147" s="1038" t="n"/>
      <c r="O147" s="1038" t="n"/>
      <c r="P147" s="1038" t="n"/>
      <c r="Q147" s="1039" t="n"/>
      <c r="R147" s="1040" t="n"/>
      <c r="S147" s="1041" t="n"/>
      <c r="T147" s="1042" t="n"/>
      <c r="U147" s="1043" t="n"/>
      <c r="V147" s="1044" t="n"/>
      <c r="W147" s="1039" t="n"/>
      <c r="X147" s="1045" t="n"/>
      <c r="Y147" s="1046" t="n"/>
      <c r="Z147" s="1046" t="n"/>
      <c r="AA147" s="1034" t="n"/>
      <c r="AB147" s="1045" t="n"/>
      <c r="AC147" s="1046" t="n"/>
      <c r="AD147" s="1046" t="n"/>
      <c r="AE147" s="597" t="n"/>
      <c r="AF147" s="1047" t="n"/>
    </row>
    <row r="148" ht="20.1" customFormat="1" customHeight="1" s="125">
      <c r="B148" s="785" t="n"/>
      <c r="C148" s="577" t="inlineStr">
        <is>
          <t>CASE-QP2000C_Hand_Sa</t>
        </is>
      </c>
      <c r="D148" s="578" t="inlineStr">
        <is>
          <t>QP2000C 실리콘 케이스 핸디형 샌드</t>
        </is>
      </c>
      <c r="E148" s="1032" t="n">
        <v>100</v>
      </c>
      <c r="F148" s="1033" t="n"/>
      <c r="G148" s="1034" t="n"/>
      <c r="H148" s="1035" t="n"/>
      <c r="I148" s="1036" t="n"/>
      <c r="J148" s="1036" t="n"/>
      <c r="K148" s="586" t="n"/>
      <c r="L148" s="1037" t="n"/>
      <c r="M148" s="1038" t="n"/>
      <c r="N148" s="1038" t="n"/>
      <c r="O148" s="1038" t="n"/>
      <c r="P148" s="1038" t="n"/>
      <c r="Q148" s="1039" t="n"/>
      <c r="R148" s="1040" t="n"/>
      <c r="S148" s="1041" t="n"/>
      <c r="T148" s="1042" t="n"/>
      <c r="U148" s="1043" t="n"/>
      <c r="V148" s="1044" t="n"/>
      <c r="W148" s="1039" t="n"/>
      <c r="X148" s="1045" t="n"/>
      <c r="Y148" s="1046" t="n"/>
      <c r="Z148" s="1046" t="n"/>
      <c r="AA148" s="1034" t="n"/>
      <c r="AB148" s="1045" t="n"/>
      <c r="AC148" s="1046" t="n"/>
      <c r="AD148" s="1046" t="n"/>
      <c r="AE148" s="597" t="n"/>
      <c r="AF148" s="1047" t="n"/>
    </row>
    <row r="149" ht="20.1" customHeight="1" s="744">
      <c r="B149" s="785" t="n"/>
      <c r="C149" s="488" t="inlineStr">
        <is>
          <t>CASE-QP2000C_Hand_PK</t>
        </is>
      </c>
      <c r="D149" s="220" t="inlineStr">
        <is>
          <t>QP2000C 실리콘 케이스 핸디형 핑크</t>
        </is>
      </c>
      <c r="E149" s="999" t="n">
        <v>100</v>
      </c>
      <c r="F149" s="1018" t="n"/>
      <c r="G149" s="986" t="n"/>
      <c r="H149" s="987" t="n"/>
      <c r="I149" s="812" t="n"/>
      <c r="J149" s="812" t="n"/>
      <c r="K149" s="180" t="n"/>
      <c r="L149" s="1028" t="n"/>
      <c r="M149" s="1029" t="n"/>
      <c r="N149" s="1029" t="n"/>
      <c r="O149" s="1029" t="n"/>
      <c r="P149" s="1029" t="n"/>
      <c r="Q149" s="1030" t="n"/>
      <c r="R149" s="991" t="n"/>
      <c r="S149" s="992" t="n"/>
      <c r="T149" s="826" t="n"/>
      <c r="U149" s="1026" t="n"/>
      <c r="V149" s="1031" t="n"/>
      <c r="W149" s="1030" t="n"/>
      <c r="X149" s="996" t="n"/>
      <c r="Y149" s="997" t="n"/>
      <c r="Z149" s="997" t="n"/>
      <c r="AA149" s="986" t="n"/>
      <c r="AB149" s="996" t="n"/>
      <c r="AC149" s="997" t="n"/>
      <c r="AD149" s="997" t="n"/>
      <c r="AE149" s="256" t="n"/>
      <c r="AF149" s="1027" t="n"/>
    </row>
    <row r="150" ht="20.1" customHeight="1" s="744">
      <c r="B150" s="785" t="n"/>
      <c r="C150" s="488" t="inlineStr">
        <is>
          <t>CASE-QP2000-Hand-GlB</t>
        </is>
      </c>
      <c r="D150" s="220" t="inlineStr">
        <is>
          <t>QP2000 실리콘 케이스_핸디형_글로우 블루</t>
        </is>
      </c>
      <c r="E150" s="999" t="n">
        <v>100</v>
      </c>
      <c r="F150" s="1049" t="n"/>
      <c r="G150" s="986" t="n"/>
      <c r="H150" s="987" t="n"/>
      <c r="I150" s="812" t="n"/>
      <c r="J150" s="812" t="n"/>
      <c r="K150" s="180" t="n"/>
      <c r="L150" s="1028" t="n"/>
      <c r="M150" s="1029" t="n"/>
      <c r="N150" s="1029" t="n"/>
      <c r="O150" s="1029" t="n"/>
      <c r="P150" s="1029" t="n"/>
      <c r="Q150" s="1030" t="n"/>
      <c r="R150" s="991" t="n"/>
      <c r="S150" s="992" t="n"/>
      <c r="T150" s="1050" t="n"/>
      <c r="U150" s="1026" t="n"/>
      <c r="V150" s="1031" t="n"/>
      <c r="W150" s="1030" t="n"/>
      <c r="X150" s="996" t="n"/>
      <c r="Y150" s="997" t="n"/>
      <c r="Z150" s="997" t="n"/>
      <c r="AA150" s="986" t="n"/>
      <c r="AB150" s="996" t="n"/>
      <c r="AC150" s="997" t="n"/>
      <c r="AD150" s="997" t="n"/>
      <c r="AE150" s="256" t="n"/>
      <c r="AF150" s="1027" t="n"/>
    </row>
    <row r="151" ht="20.1" customHeight="1" s="744">
      <c r="B151" s="785" t="n"/>
      <c r="C151" s="488" t="inlineStr">
        <is>
          <t>CASE-QP2000-Hand-GlG</t>
        </is>
      </c>
      <c r="D151" s="220" t="inlineStr">
        <is>
          <t>QP2000 실리콘 케이스_핸디형_글로우 그린</t>
        </is>
      </c>
      <c r="E151" s="999" t="n">
        <v>100</v>
      </c>
      <c r="F151" s="1049" t="n"/>
      <c r="G151" s="986" t="n"/>
      <c r="H151" s="987" t="n"/>
      <c r="I151" s="812" t="n"/>
      <c r="J151" s="812" t="n"/>
      <c r="K151" s="180" t="n"/>
      <c r="L151" s="1028" t="n"/>
      <c r="M151" s="1029" t="n"/>
      <c r="N151" s="1029" t="n"/>
      <c r="O151" s="1029" t="n"/>
      <c r="P151" s="1029" t="n"/>
      <c r="Q151" s="1030" t="n"/>
      <c r="R151" s="991" t="n"/>
      <c r="S151" s="992" t="n"/>
      <c r="T151" s="1050" t="n"/>
      <c r="U151" s="1026" t="n"/>
      <c r="V151" s="1031" t="n"/>
      <c r="W151" s="1030" t="n"/>
      <c r="X151" s="996" t="n"/>
      <c r="Y151" s="997" t="n"/>
      <c r="Z151" s="997" t="n"/>
      <c r="AA151" s="986" t="n"/>
      <c r="AB151" s="996" t="n"/>
      <c r="AC151" s="997" t="n"/>
      <c r="AD151" s="997" t="n"/>
      <c r="AE151" s="256" t="n"/>
      <c r="AF151" s="1027" t="n"/>
    </row>
    <row r="152" ht="20.1" customHeight="1" s="744">
      <c r="B152" s="785" t="n"/>
      <c r="C152" s="488" t="inlineStr">
        <is>
          <t>CASE-QP2000-Hand-GlO</t>
        </is>
      </c>
      <c r="D152" s="220" t="inlineStr">
        <is>
          <t>QP2000 실리콘 케이스_핸디형_글로우 오렌지</t>
        </is>
      </c>
      <c r="E152" s="999" t="n">
        <v>100</v>
      </c>
      <c r="F152" s="1049" t="n"/>
      <c r="G152" s="986" t="n"/>
      <c r="H152" s="987" t="n"/>
      <c r="I152" s="812" t="n"/>
      <c r="J152" s="812" t="n"/>
      <c r="K152" s="180" t="n"/>
      <c r="L152" s="1028" t="n"/>
      <c r="M152" s="1029" t="n"/>
      <c r="N152" s="1029" t="n"/>
      <c r="O152" s="1029" t="n"/>
      <c r="P152" s="1029" t="n"/>
      <c r="Q152" s="1030" t="n"/>
      <c r="R152" s="991" t="n"/>
      <c r="S152" s="992" t="n"/>
      <c r="T152" s="1050" t="n"/>
      <c r="U152" s="1026" t="n"/>
      <c r="V152" s="1031" t="n"/>
      <c r="W152" s="1030" t="n"/>
      <c r="X152" s="996" t="n"/>
      <c r="Y152" s="997" t="n"/>
      <c r="Z152" s="997" t="n"/>
      <c r="AA152" s="986" t="n"/>
      <c r="AB152" s="996" t="n"/>
      <c r="AC152" s="997" t="n"/>
      <c r="AD152" s="997" t="n"/>
      <c r="AE152" s="256" t="n"/>
      <c r="AF152" s="1027" t="n"/>
    </row>
    <row r="153" ht="20.1" customHeight="1" s="744">
      <c r="B153" s="785" t="n"/>
      <c r="C153" s="488" t="inlineStr">
        <is>
          <t>CASE-QP2000-Hand-GlY</t>
        </is>
      </c>
      <c r="D153" s="220" t="inlineStr">
        <is>
          <t>QP2000 실리콘 케이스_핸디형_글로우 옐로우</t>
        </is>
      </c>
      <c r="E153" s="999" t="n">
        <v>100</v>
      </c>
      <c r="F153" s="1049" t="n"/>
      <c r="G153" s="986" t="n"/>
      <c r="H153" s="987" t="n"/>
      <c r="I153" s="812" t="n"/>
      <c r="J153" s="812" t="n"/>
      <c r="K153" s="180" t="n"/>
      <c r="L153" s="1028" t="n"/>
      <c r="M153" s="1029" t="n"/>
      <c r="N153" s="1029" t="n"/>
      <c r="O153" s="1029" t="n"/>
      <c r="P153" s="1029" t="n"/>
      <c r="Q153" s="1030" t="n"/>
      <c r="R153" s="991" t="n"/>
      <c r="S153" s="992" t="n"/>
      <c r="T153" s="1050" t="n"/>
      <c r="U153" s="1026" t="n"/>
      <c r="V153" s="1031" t="n"/>
      <c r="W153" s="1030" t="n"/>
      <c r="X153" s="996" t="n"/>
      <c r="Y153" s="997" t="n"/>
      <c r="Z153" s="997" t="n"/>
      <c r="AA153" s="986" t="n"/>
      <c r="AB153" s="996" t="n"/>
      <c r="AC153" s="997" t="n"/>
      <c r="AD153" s="997" t="n"/>
      <c r="AE153" s="256" t="n"/>
      <c r="AF153" s="1027" t="n"/>
    </row>
    <row r="154" ht="20.1" customHeight="1" s="744">
      <c r="B154" s="785" t="n"/>
      <c r="C154" s="488" t="inlineStr">
        <is>
          <t>QMA-Cardwallet_BR</t>
        </is>
      </c>
      <c r="D154" s="220" t="inlineStr">
        <is>
          <t>리큐엠 맥세이프 액세서리-카드지갑_브라운</t>
        </is>
      </c>
      <c r="E154" s="999" t="n">
        <v>100</v>
      </c>
      <c r="F154" s="985" t="n"/>
      <c r="G154" s="986" t="n"/>
      <c r="H154" s="987" t="n"/>
      <c r="I154" s="812" t="n"/>
      <c r="J154" s="812" t="n"/>
      <c r="K154" s="180" t="n"/>
      <c r="L154" s="988" t="n"/>
      <c r="M154" s="989" t="n"/>
      <c r="N154" s="989" t="n"/>
      <c r="O154" s="989" t="n"/>
      <c r="P154" s="989" t="n"/>
      <c r="Q154" s="990" t="n"/>
      <c r="R154" s="991" t="n"/>
      <c r="S154" s="992" t="n"/>
      <c r="T154" s="993" t="n"/>
      <c r="U154" s="1026" t="n"/>
      <c r="V154" s="995" t="n"/>
      <c r="W154" s="990" t="n"/>
      <c r="X154" s="996" t="n"/>
      <c r="Y154" s="997" t="n"/>
      <c r="Z154" s="997" t="n"/>
      <c r="AA154" s="986" t="n"/>
      <c r="AB154" s="996" t="n"/>
      <c r="AC154" s="997" t="n"/>
      <c r="AD154" s="997" t="n"/>
      <c r="AE154" s="256" t="n"/>
      <c r="AF154" s="1027" t="n"/>
    </row>
    <row r="155" ht="20.1" customHeight="1" s="744">
      <c r="B155" s="785" t="n"/>
      <c r="C155" s="488" t="inlineStr">
        <is>
          <t>QMA-Cardwallet_OR</t>
        </is>
      </c>
      <c r="D155" s="220" t="inlineStr">
        <is>
          <t>리큐엠 맥세이프 액세서리-카드지갑_오렌지</t>
        </is>
      </c>
      <c r="E155" s="999" t="n">
        <v>100</v>
      </c>
      <c r="F155" s="985" t="n"/>
      <c r="G155" s="986" t="n"/>
      <c r="H155" s="987" t="n"/>
      <c r="I155" s="812" t="n"/>
      <c r="J155" s="812" t="n"/>
      <c r="K155" s="180" t="n"/>
      <c r="L155" s="988" t="n"/>
      <c r="M155" s="989" t="n"/>
      <c r="N155" s="989" t="n"/>
      <c r="O155" s="989" t="n"/>
      <c r="P155" s="989" t="n"/>
      <c r="Q155" s="990" t="n"/>
      <c r="R155" s="991" t="n"/>
      <c r="S155" s="992" t="n"/>
      <c r="T155" s="993" t="n"/>
      <c r="U155" s="1026" t="n"/>
      <c r="V155" s="995" t="n"/>
      <c r="W155" s="990" t="n"/>
      <c r="X155" s="996" t="n"/>
      <c r="Y155" s="997" t="n"/>
      <c r="Z155" s="997" t="n"/>
      <c r="AA155" s="986" t="n"/>
      <c r="AB155" s="996" t="n"/>
      <c r="AC155" s="997" t="n"/>
      <c r="AD155" s="997" t="n"/>
      <c r="AE155" s="256" t="n"/>
      <c r="AF155" s="1027" t="n"/>
    </row>
    <row r="156" ht="20.1" customHeight="1" s="744">
      <c r="B156" s="785" t="n"/>
      <c r="C156" s="488" t="inlineStr">
        <is>
          <t>QMA-Cardwallet_GR</t>
        </is>
      </c>
      <c r="D156" s="220" t="inlineStr">
        <is>
          <t>리큐엠 맥세이프 액세서리-카드지갑_그린</t>
        </is>
      </c>
      <c r="E156" s="999" t="n">
        <v>100</v>
      </c>
      <c r="F156" s="985" t="n"/>
      <c r="G156" s="986" t="n"/>
      <c r="H156" s="987" t="n"/>
      <c r="I156" s="812" t="n"/>
      <c r="J156" s="812" t="n"/>
      <c r="K156" s="180" t="n"/>
      <c r="L156" s="988" t="n"/>
      <c r="M156" s="989" t="n"/>
      <c r="N156" s="989" t="n"/>
      <c r="O156" s="989" t="n"/>
      <c r="P156" s="989" t="n"/>
      <c r="Q156" s="990" t="n"/>
      <c r="R156" s="991" t="n"/>
      <c r="S156" s="992" t="n"/>
      <c r="T156" s="993" t="n"/>
      <c r="U156" s="1026" t="n"/>
      <c r="V156" s="995" t="n"/>
      <c r="W156" s="990" t="n"/>
      <c r="X156" s="996" t="n"/>
      <c r="Y156" s="997" t="n"/>
      <c r="Z156" s="997" t="n"/>
      <c r="AA156" s="986" t="n"/>
      <c r="AB156" s="996" t="n"/>
      <c r="AC156" s="997" t="n"/>
      <c r="AD156" s="997" t="n"/>
      <c r="AE156" s="256" t="n"/>
      <c r="AF156" s="1027" t="n"/>
    </row>
    <row r="157" ht="20.1" customHeight="1" s="744">
      <c r="B157" s="785" t="n"/>
      <c r="C157" s="488" t="inlineStr">
        <is>
          <t>QMA-Cardwallet_NA</t>
        </is>
      </c>
      <c r="D157" s="220" t="inlineStr">
        <is>
          <t>리큐엠 맥세이프 액세서리-카드지갑_네이비</t>
        </is>
      </c>
      <c r="E157" s="999" t="n">
        <v>100</v>
      </c>
      <c r="F157" s="985" t="n"/>
      <c r="G157" s="986" t="n"/>
      <c r="H157" s="987" t="n"/>
      <c r="I157" s="812" t="n"/>
      <c r="J157" s="812" t="n"/>
      <c r="K157" s="180" t="n"/>
      <c r="L157" s="988" t="n"/>
      <c r="M157" s="989" t="n"/>
      <c r="N157" s="989" t="n"/>
      <c r="O157" s="989" t="n"/>
      <c r="P157" s="989" t="n"/>
      <c r="Q157" s="990" t="n"/>
      <c r="R157" s="991" t="n"/>
      <c r="S157" s="992" t="n"/>
      <c r="T157" s="993" t="n"/>
      <c r="U157" s="1026" t="n"/>
      <c r="V157" s="995" t="n"/>
      <c r="W157" s="990" t="n"/>
      <c r="X157" s="996" t="n"/>
      <c r="Y157" s="997" t="n"/>
      <c r="Z157" s="997" t="n"/>
      <c r="AA157" s="986" t="n"/>
      <c r="AB157" s="996" t="n"/>
      <c r="AC157" s="997" t="n"/>
      <c r="AD157" s="997" t="n"/>
      <c r="AE157" s="256" t="n"/>
      <c r="AF157" s="1000" t="n"/>
    </row>
    <row r="158" ht="20.1" customHeight="1" s="744">
      <c r="B158" s="785" t="n"/>
      <c r="C158" s="488" t="inlineStr">
        <is>
          <t>QMA-Cardwallet_PK</t>
        </is>
      </c>
      <c r="D158" s="220" t="inlineStr">
        <is>
          <t>리큐엠 맥세이프 액세서리-카드지갑_핑크</t>
        </is>
      </c>
      <c r="E158" s="999" t="n">
        <v>100</v>
      </c>
      <c r="F158" s="985" t="n"/>
      <c r="G158" s="986" t="n"/>
      <c r="H158" s="987" t="n"/>
      <c r="I158" s="812" t="n"/>
      <c r="J158" s="812" t="n"/>
      <c r="K158" s="180" t="n"/>
      <c r="L158" s="988" t="n"/>
      <c r="M158" s="989" t="n"/>
      <c r="N158" s="989" t="n"/>
      <c r="O158" s="989" t="n"/>
      <c r="P158" s="989" t="n"/>
      <c r="Q158" s="990" t="n"/>
      <c r="R158" s="991" t="n"/>
      <c r="S158" s="992" t="n"/>
      <c r="T158" s="993" t="n"/>
      <c r="U158" s="1026" t="n"/>
      <c r="V158" s="995" t="n"/>
      <c r="W158" s="990" t="n"/>
      <c r="X158" s="996" t="n"/>
      <c r="Y158" s="997" t="n"/>
      <c r="Z158" s="997" t="n"/>
      <c r="AA158" s="986" t="n"/>
      <c r="AB158" s="996" t="n"/>
      <c r="AC158" s="997" t="n"/>
      <c r="AD158" s="997" t="n"/>
      <c r="AE158" s="256" t="n"/>
      <c r="AF158" s="1000" t="n"/>
    </row>
    <row r="159" ht="20.1" customHeight="1" s="744">
      <c r="B159" s="785" t="n"/>
      <c r="C159" s="577" t="inlineStr">
        <is>
          <t>QMA-Cardwallet_BE</t>
        </is>
      </c>
      <c r="D159" s="578" t="inlineStr">
        <is>
          <t>리큐엠 맥세이프 액세서리-카드지갑_베이지</t>
        </is>
      </c>
      <c r="E159" s="1032" t="n">
        <v>100</v>
      </c>
      <c r="F159" s="1051" t="n"/>
      <c r="G159" s="1034" t="n"/>
      <c r="H159" s="1035" t="n"/>
      <c r="I159" s="1036" t="n"/>
      <c r="J159" s="1036" t="n"/>
      <c r="K159" s="586" t="n"/>
      <c r="L159" s="1037" t="n"/>
      <c r="M159" s="1038" t="n"/>
      <c r="N159" s="1038" t="n"/>
      <c r="O159" s="1038" t="n"/>
      <c r="P159" s="1038" t="n"/>
      <c r="Q159" s="1039" t="n"/>
      <c r="R159" s="1040" t="n"/>
      <c r="S159" s="1041" t="n"/>
      <c r="T159" s="1052" t="n"/>
      <c r="U159" s="1043" t="n"/>
      <c r="V159" s="1044" t="n"/>
      <c r="W159" s="1039" t="n"/>
      <c r="X159" s="1045" t="n"/>
      <c r="Y159" s="1046" t="n"/>
      <c r="Z159" s="1046" t="n"/>
      <c r="AA159" s="1034" t="n"/>
      <c r="AB159" s="1045" t="n"/>
      <c r="AC159" s="1046" t="n"/>
      <c r="AD159" s="1046" t="n"/>
      <c r="AE159" s="597" t="n"/>
      <c r="AF159" s="1047" t="n"/>
    </row>
    <row r="160" ht="20.1" customHeight="1" s="744">
      <c r="B160" s="785" t="n"/>
      <c r="C160" s="488" t="inlineStr">
        <is>
          <t>QMA-Cardwallet_DBR</t>
        </is>
      </c>
      <c r="D160" s="220" t="inlineStr">
        <is>
          <t>리큐엠 맥세이프 액세서리-카드지갑_다크브라운</t>
        </is>
      </c>
      <c r="E160" s="999" t="n">
        <v>100</v>
      </c>
      <c r="F160" s="985" t="n"/>
      <c r="G160" s="986" t="n"/>
      <c r="H160" s="987" t="n"/>
      <c r="I160" s="812" t="n"/>
      <c r="J160" s="812" t="n"/>
      <c r="K160" s="180" t="n"/>
      <c r="L160" s="988" t="n"/>
      <c r="M160" s="989" t="n"/>
      <c r="N160" s="989" t="n"/>
      <c r="O160" s="989" t="n"/>
      <c r="P160" s="989" t="n"/>
      <c r="Q160" s="1053" t="n"/>
      <c r="R160" s="991" t="n"/>
      <c r="S160" s="992" t="n"/>
      <c r="T160" s="993" t="n"/>
      <c r="U160" s="1026" t="n"/>
      <c r="V160" s="995" t="n"/>
      <c r="W160" s="990" t="n"/>
      <c r="X160" s="996" t="n"/>
      <c r="Y160" s="997" t="n"/>
      <c r="Z160" s="997" t="n"/>
      <c r="AA160" s="986" t="n"/>
      <c r="AB160" s="996" t="n"/>
      <c r="AC160" s="997" t="n"/>
      <c r="AD160" s="997" t="n"/>
      <c r="AE160" s="256" t="n"/>
      <c r="AF160" s="1000" t="n"/>
    </row>
    <row r="161" ht="20.1" customHeight="1" s="744">
      <c r="B161" s="785" t="n"/>
      <c r="C161" s="577" t="inlineStr">
        <is>
          <t>QMA-Cardwallet_SGY</t>
        </is>
      </c>
      <c r="D161" s="578" t="inlineStr">
        <is>
          <t>리큐엠 맥세이프 액세서리-카드지갑_솔리드그레이</t>
        </is>
      </c>
      <c r="E161" s="1032" t="n">
        <v>100</v>
      </c>
      <c r="F161" s="1051" t="n"/>
      <c r="G161" s="1034" t="n"/>
      <c r="H161" s="1035" t="n"/>
      <c r="I161" s="1036" t="n"/>
      <c r="J161" s="1036" t="n"/>
      <c r="K161" s="586" t="n"/>
      <c r="L161" s="1037" t="n"/>
      <c r="M161" s="1038" t="n"/>
      <c r="N161" s="1038" t="n"/>
      <c r="O161" s="1038" t="n"/>
      <c r="P161" s="1038" t="n"/>
      <c r="Q161" s="1054" t="n"/>
      <c r="R161" s="1040" t="n"/>
      <c r="S161" s="1041" t="n"/>
      <c r="T161" s="1052" t="n"/>
      <c r="U161" s="1043" t="n"/>
      <c r="V161" s="1044" t="n"/>
      <c r="W161" s="1039" t="n"/>
      <c r="X161" s="1045" t="n"/>
      <c r="Y161" s="1046" t="n"/>
      <c r="Z161" s="1046" t="n"/>
      <c r="AA161" s="1034" t="n"/>
      <c r="AB161" s="1045" t="n"/>
      <c r="AC161" s="1046" t="n"/>
      <c r="AD161" s="1046" t="n"/>
      <c r="AE161" s="597" t="n"/>
      <c r="AF161" s="1047" t="n"/>
    </row>
    <row r="162" ht="20.1" customHeight="1" s="744">
      <c r="B162" s="785" t="n"/>
      <c r="C162" s="488" t="inlineStr">
        <is>
          <t>QMA-Cardwallet_AGY</t>
        </is>
      </c>
      <c r="D162" s="220" t="inlineStr">
        <is>
          <t>리큐엠 맥세이프 액세서리-카드지갑_애쉬그레이</t>
        </is>
      </c>
      <c r="E162" s="999" t="n">
        <v>100</v>
      </c>
      <c r="F162" s="985" t="n"/>
      <c r="G162" s="986" t="n"/>
      <c r="H162" s="987" t="n"/>
      <c r="I162" s="812" t="n"/>
      <c r="J162" s="812" t="n"/>
      <c r="K162" s="180" t="n"/>
      <c r="L162" s="988" t="n"/>
      <c r="M162" s="989" t="n"/>
      <c r="N162" s="989" t="n"/>
      <c r="O162" s="989" t="n"/>
      <c r="P162" s="989" t="n"/>
      <c r="Q162" s="1055" t="n"/>
      <c r="R162" s="991" t="n"/>
      <c r="S162" s="992" t="n"/>
      <c r="T162" s="993" t="n"/>
      <c r="U162" s="1026" t="n"/>
      <c r="V162" s="995" t="n"/>
      <c r="W162" s="990" t="n"/>
      <c r="X162" s="996" t="n"/>
      <c r="Y162" s="997" t="n"/>
      <c r="Z162" s="997" t="n"/>
      <c r="AA162" s="986" t="n"/>
      <c r="AB162" s="996" t="n"/>
      <c r="AC162" s="997" t="n"/>
      <c r="AD162" s="997" t="n"/>
      <c r="AE162" s="256" t="n"/>
      <c r="AF162" s="1000" t="n"/>
    </row>
    <row r="163" ht="20.1" customHeight="1" s="744">
      <c r="B163" s="785" t="n"/>
      <c r="C163" s="487" t="inlineStr">
        <is>
          <t>QMA-Ringsticker_BK</t>
        </is>
      </c>
      <c r="D163" s="94" t="inlineStr">
        <is>
          <t>리큐엠 맥세이프 액세서리-링스티커_블랙</t>
        </is>
      </c>
      <c r="E163" s="1001" t="n">
        <v>600</v>
      </c>
      <c r="F163" s="1002" t="n"/>
      <c r="G163" s="891" t="n"/>
      <c r="H163" s="1003" t="n"/>
      <c r="I163" s="834" t="n"/>
      <c r="J163" s="1004" t="n"/>
      <c r="K163" s="192" t="n"/>
      <c r="L163" s="820" t="n"/>
      <c r="M163" s="1005" t="n"/>
      <c r="N163" s="1005" t="n"/>
      <c r="O163" s="1005" t="n"/>
      <c r="P163" s="1005" t="n"/>
      <c r="Q163" s="1056" t="n"/>
      <c r="R163" s="1007" t="n"/>
      <c r="S163" s="1008" t="n"/>
      <c r="T163" s="1009" t="n"/>
      <c r="U163" s="1020" t="n"/>
      <c r="V163" s="1011" t="n"/>
      <c r="W163" s="1006" t="n"/>
      <c r="X163" s="1057" t="n"/>
      <c r="Y163" s="1058" t="n"/>
      <c r="Z163" s="1059" t="n"/>
      <c r="AA163" s="1060" t="n"/>
      <c r="AB163" s="1057" t="n"/>
      <c r="AC163" s="1058" t="n"/>
      <c r="AD163" s="1059" t="n"/>
      <c r="AE163" s="1057" t="n"/>
      <c r="AF163" s="1012" t="n"/>
    </row>
    <row r="164" ht="20.1" customHeight="1" s="744">
      <c r="B164" s="785" t="n"/>
      <c r="C164" s="90" t="inlineStr">
        <is>
          <t>QMA-Bubblepad_Or</t>
        </is>
      </c>
      <c r="D164" s="200" t="inlineStr">
        <is>
          <t>리큐엠 맥세이프 액세서리-버블패드_소프트 오렌지</t>
        </is>
      </c>
      <c r="E164" s="786" t="n">
        <v>100</v>
      </c>
      <c r="F164" s="979" t="n"/>
      <c r="G164" s="806" t="n"/>
      <c r="H164" s="789" t="n"/>
      <c r="I164" s="790" t="n"/>
      <c r="J164" s="790" t="n"/>
      <c r="K164" s="171" t="n"/>
      <c r="L164" s="791" t="n"/>
      <c r="M164" s="792" t="n"/>
      <c r="N164" s="792" t="n"/>
      <c r="O164" s="792" t="n"/>
      <c r="P164" s="792" t="n"/>
      <c r="Q164" s="1053" t="n"/>
      <c r="R164" s="794" t="n"/>
      <c r="S164" s="795" t="n"/>
      <c r="T164" s="796" t="n"/>
      <c r="U164" s="797" t="n"/>
      <c r="V164" s="798" t="n"/>
      <c r="W164" s="793" t="n"/>
      <c r="X164" s="499" t="n"/>
      <c r="Y164" s="1061" t="n"/>
      <c r="Z164" s="1062" t="n"/>
      <c r="AA164" s="1063" t="n"/>
      <c r="AB164" s="786" t="n"/>
      <c r="AC164" s="1061" t="n"/>
      <c r="AD164" s="1062" t="n"/>
      <c r="AE164" s="1063" t="n"/>
      <c r="AF164" s="803" t="n"/>
    </row>
    <row r="165" ht="20.1" customHeight="1" s="744">
      <c r="B165" s="785" t="n"/>
      <c r="C165" s="579" t="inlineStr">
        <is>
          <t>QMA-Bubblepad_La</t>
        </is>
      </c>
      <c r="D165" s="579" t="inlineStr">
        <is>
          <t>리큐엠 맥세이프 액세서리-버블패드_소프트 라벤더</t>
        </is>
      </c>
      <c r="E165" s="1064" t="n">
        <v>100</v>
      </c>
      <c r="F165" s="1065" t="n"/>
      <c r="G165" s="1066" t="n"/>
      <c r="H165" s="1067" t="n"/>
      <c r="I165" s="1068" t="n"/>
      <c r="J165" s="1068" t="n"/>
      <c r="K165" s="607" t="n"/>
      <c r="L165" s="1069" t="n"/>
      <c r="M165" s="1070" t="n"/>
      <c r="N165" s="1070" t="n"/>
      <c r="O165" s="1070" t="n"/>
      <c r="P165" s="1070" t="n"/>
      <c r="Q165" s="1071" t="n"/>
      <c r="R165" s="1072" t="n"/>
      <c r="S165" s="1073" t="n"/>
      <c r="T165" s="1074" t="n"/>
      <c r="U165" s="1075" t="n"/>
      <c r="V165" s="1076" t="n"/>
      <c r="W165" s="1067" t="n"/>
      <c r="X165" s="616" t="n"/>
      <c r="Y165" s="617" t="n"/>
      <c r="Z165" s="617" t="n"/>
      <c r="AA165" s="618" t="n"/>
      <c r="AB165" s="619" t="n"/>
      <c r="AC165" s="620" t="n"/>
      <c r="AD165" s="620" t="n"/>
      <c r="AE165" s="621" t="n"/>
      <c r="AF165" s="1077" t="n"/>
    </row>
    <row r="166" ht="20.1" customHeight="1" s="744">
      <c r="B166" s="785" t="n"/>
      <c r="C166" s="90" t="inlineStr">
        <is>
          <t>QMA-Bubblepad_Mi</t>
        </is>
      </c>
      <c r="D166" s="90" t="inlineStr">
        <is>
          <t>리큐엠 맥세이프 액세서리-버블패드_소프트 민트</t>
        </is>
      </c>
      <c r="E166" s="786" t="n">
        <v>100</v>
      </c>
      <c r="F166" s="979" t="n"/>
      <c r="G166" s="788" t="n"/>
      <c r="H166" s="789" t="n"/>
      <c r="I166" s="790" t="n"/>
      <c r="J166" s="790" t="n"/>
      <c r="K166" s="171" t="n"/>
      <c r="L166" s="791" t="n"/>
      <c r="M166" s="792" t="n"/>
      <c r="N166" s="792" t="n"/>
      <c r="O166" s="792" t="n"/>
      <c r="P166" s="792" t="n"/>
      <c r="Q166" s="1053" t="n"/>
      <c r="R166" s="794" t="n"/>
      <c r="S166" s="795" t="n"/>
      <c r="T166" s="932" t="n"/>
      <c r="U166" s="797" t="n"/>
      <c r="V166" s="1078" t="n"/>
      <c r="W166" s="936" t="n"/>
      <c r="X166" s="503" t="n"/>
      <c r="Y166" s="504" t="n"/>
      <c r="Z166" s="504" t="n"/>
      <c r="AA166" s="499" t="n"/>
      <c r="AB166" s="505" t="n"/>
      <c r="AC166" s="506" t="n"/>
      <c r="AD166" s="506" t="n"/>
      <c r="AE166" s="507" t="n"/>
      <c r="AF166" s="803" t="n"/>
    </row>
    <row r="167" ht="20.1" customHeight="1" s="744">
      <c r="B167" s="785" t="n"/>
      <c r="C167" s="580" t="inlineStr">
        <is>
          <t>QMA-Bubblepad_Bl</t>
        </is>
      </c>
      <c r="D167" s="580" t="inlineStr">
        <is>
          <t>리큐엠 맥세이프 액세서리-버블패드_소프트 블루</t>
        </is>
      </c>
      <c r="E167" s="1079" t="n">
        <v>100</v>
      </c>
      <c r="F167" s="1080" t="n"/>
      <c r="G167" s="1081" t="n"/>
      <c r="H167" s="1082" t="n"/>
      <c r="I167" s="1083" t="n"/>
      <c r="J167" s="1083" t="n"/>
      <c r="K167" s="628" t="n"/>
      <c r="L167" s="1084" t="n"/>
      <c r="M167" s="1085" t="n"/>
      <c r="N167" s="1085" t="n"/>
      <c r="O167" s="1085" t="n"/>
      <c r="P167" s="1085" t="n"/>
      <c r="Q167" s="1086" t="n"/>
      <c r="R167" s="1087" t="n"/>
      <c r="S167" s="1088" t="n"/>
      <c r="T167" s="1089" t="n"/>
      <c r="U167" s="1090" t="n"/>
      <c r="V167" s="1091" t="n"/>
      <c r="W167" s="1082" t="n"/>
      <c r="X167" s="637" t="n"/>
      <c r="Y167" s="638" t="n"/>
      <c r="Z167" s="638" t="n"/>
      <c r="AA167" s="639" t="n"/>
      <c r="AB167" s="640" t="n"/>
      <c r="AC167" s="641" t="n"/>
      <c r="AD167" s="641" t="n"/>
      <c r="AE167" s="642" t="n"/>
      <c r="AF167" s="1092" t="n"/>
    </row>
    <row r="168" ht="20.1" customHeight="1" s="744">
      <c r="B168" s="785" t="n"/>
      <c r="C168" s="90" t="inlineStr">
        <is>
          <t>QMA-Bubblepad_Bk</t>
        </is>
      </c>
      <c r="D168" s="90" t="inlineStr">
        <is>
          <t>리큐엠 맥세이프 액세서리-버블패드_소프트 블랙</t>
        </is>
      </c>
      <c r="E168" s="786" t="n">
        <v>100</v>
      </c>
      <c r="F168" s="979" t="n"/>
      <c r="G168" s="788" t="n"/>
      <c r="H168" s="789" t="n"/>
      <c r="I168" s="790" t="n"/>
      <c r="J168" s="790" t="n"/>
      <c r="K168" s="171" t="n"/>
      <c r="L168" s="791" t="n"/>
      <c r="M168" s="792" t="n"/>
      <c r="N168" s="792" t="n"/>
      <c r="O168" s="792" t="n"/>
      <c r="P168" s="792" t="n"/>
      <c r="Q168" s="1053" t="n"/>
      <c r="R168" s="794" t="n"/>
      <c r="S168" s="795" t="n"/>
      <c r="T168" s="932" t="n"/>
      <c r="U168" s="797" t="n"/>
      <c r="V168" s="1078" t="n"/>
      <c r="W168" s="936" t="n"/>
      <c r="X168" s="503" t="n"/>
      <c r="Y168" s="504" t="n"/>
      <c r="Z168" s="504" t="n"/>
      <c r="AA168" s="499" t="n"/>
      <c r="AB168" s="505" t="n"/>
      <c r="AC168" s="506" t="n"/>
      <c r="AD168" s="506" t="n"/>
      <c r="AE168" s="507" t="n"/>
      <c r="AF168" s="803" t="n"/>
    </row>
    <row r="169" ht="20.1" customHeight="1" s="744" thickBot="1">
      <c r="B169" s="757" t="n"/>
      <c r="C169" s="103" t="inlineStr">
        <is>
          <t>QMA-Bubblepad-Cr</t>
        </is>
      </c>
      <c r="D169" s="103" t="inlineStr">
        <is>
          <t>리큐엠 맥세이프 액세서리-버블패드_소프트 크림</t>
        </is>
      </c>
      <c r="E169" s="1093" t="n">
        <v>100</v>
      </c>
      <c r="F169" s="1094" t="n"/>
      <c r="G169" s="1095" t="n"/>
      <c r="H169" s="1096" t="n"/>
      <c r="I169" s="1097" t="n"/>
      <c r="J169" s="1097" t="n"/>
      <c r="K169" s="199" t="n"/>
      <c r="L169" s="948" t="n"/>
      <c r="M169" s="949" t="n"/>
      <c r="N169" s="949" t="n"/>
      <c r="O169" s="949" t="n"/>
      <c r="P169" s="949" t="n"/>
      <c r="Q169" s="1098" t="n"/>
      <c r="R169" s="1099" t="n"/>
      <c r="S169" s="1100" t="n"/>
      <c r="T169" s="1101" t="n"/>
      <c r="U169" s="1102" t="n"/>
      <c r="V169" s="1103" t="n"/>
      <c r="W169" s="946" t="n"/>
      <c r="X169" s="562" t="n"/>
      <c r="Y169" s="563" t="n"/>
      <c r="Z169" s="563" t="n"/>
      <c r="AA169" s="564" t="n"/>
      <c r="AB169" s="565" t="n"/>
      <c r="AC169" s="566" t="n"/>
      <c r="AD169" s="566" t="n"/>
      <c r="AE169" s="567" t="n"/>
      <c r="AF169" s="959" t="n"/>
    </row>
  </sheetData>
  <mergeCells count="25">
    <mergeCell ref="B3:B4"/>
    <mergeCell ref="X4:AA4"/>
    <mergeCell ref="B1:C2"/>
    <mergeCell ref="B29:B46"/>
    <mergeCell ref="F3:F4"/>
    <mergeCell ref="B74:B78"/>
    <mergeCell ref="B50:B59"/>
    <mergeCell ref="B79:B169"/>
    <mergeCell ref="G3:G4"/>
    <mergeCell ref="B60:B72"/>
    <mergeCell ref="I3:I4"/>
    <mergeCell ref="D3:D4"/>
    <mergeCell ref="B47:B49"/>
    <mergeCell ref="Z19:AA22"/>
    <mergeCell ref="X3:AE3"/>
    <mergeCell ref="AB4:AE4"/>
    <mergeCell ref="H3:H4"/>
    <mergeCell ref="T3:V3"/>
    <mergeCell ref="J3:J4"/>
    <mergeCell ref="R3:S3"/>
    <mergeCell ref="B5:B28"/>
    <mergeCell ref="K3:K4"/>
    <mergeCell ref="C3:C4"/>
    <mergeCell ref="E3:E4"/>
    <mergeCell ref="L3:Q3"/>
  </mergeCells>
  <conditionalFormatting sqref="AF5:AF169">
    <cfRule type="cellIs" priority="3" operator="equal" dxfId="4">
      <formula>"적정"</formula>
    </cfRule>
    <cfRule type="containsText" priority="4" operator="containsText" dxfId="3" text="발주필요">
      <formula>NOT(ISERROR(SEARCH("발주필요",AF5)))</formula>
    </cfRule>
  </conditionalFormatting>
  <pageMargins left="0.7086614173228346" right="0.7086614173228346" top="0.7480314960629921" bottom="0.7480314960629921" header="0.3149606299212598" footer="0.3149606299212598"/>
  <pageSetup orientation="portrait" paperSize="9" scale="1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69"/>
  <sheetViews>
    <sheetView showGridLines="0" tabSelected="1" topLeftCell="B1" zoomScale="90" zoomScaleNormal="90" workbookViewId="0">
      <pane ySplit="4" topLeftCell="A5" activePane="bottomLeft" state="frozen"/>
      <selection pane="bottomLeft" activeCell="R19" sqref="R19"/>
    </sheetView>
  </sheetViews>
  <sheetFormatPr baseColWidth="8" defaultColWidth="25" defaultRowHeight="16.5"/>
  <cols>
    <col width="1.625" customWidth="1" style="125" min="1" max="1"/>
    <col width="15.125" bestFit="1" customWidth="1" style="717" min="2" max="2"/>
    <col collapsed="1" width="23.5" customWidth="1" style="717" min="3" max="3"/>
    <col width="11.375" customWidth="1" style="742" min="4" max="6"/>
    <col width="11.375" customWidth="1" style="1104" min="7" max="9"/>
    <col width="11.625" customWidth="1" style="717" min="10" max="11"/>
    <col width="9.625" customWidth="1" style="717" min="12" max="12"/>
    <col width="47.5" customWidth="1" style="717" min="13" max="13"/>
    <col hidden="1" width="11" customWidth="1" style="717" min="14" max="14"/>
    <col hidden="1" width="11.625" customWidth="1" style="717" min="15" max="15"/>
    <col hidden="1" width="11" customWidth="1" style="717" min="16" max="16"/>
    <col width="25" customWidth="1" style="717" min="17" max="17"/>
    <col width="25" customWidth="1" style="717" min="18" max="16384"/>
  </cols>
  <sheetData>
    <row r="1" ht="27" customHeight="1" s="744" thickBot="1">
      <c r="B1" s="672" t="inlineStr">
        <is>
          <t>재고현황</t>
        </is>
      </c>
      <c r="C1" s="745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</row>
    <row r="2" ht="13.5" customHeight="1" s="744">
      <c r="B2" s="1105" t="inlineStr">
        <is>
          <t>구분</t>
        </is>
      </c>
      <c r="C2" s="1106" t="inlineStr">
        <is>
          <t>품목코드</t>
        </is>
      </c>
      <c r="D2" s="1107" t="inlineStr">
        <is>
          <t>본사실재고</t>
        </is>
      </c>
      <c r="E2" s="1107" t="inlineStr">
        <is>
          <t>본사이카운트</t>
        </is>
      </c>
      <c r="F2" s="1107" t="inlineStr">
        <is>
          <t>차이</t>
        </is>
      </c>
      <c r="G2" s="1108" t="inlineStr">
        <is>
          <t>위킵실재고</t>
        </is>
      </c>
      <c r="H2" s="1109" t="inlineStr">
        <is>
          <t>위킵이카운트</t>
        </is>
      </c>
      <c r="I2" s="1108" t="inlineStr">
        <is>
          <t>차이</t>
        </is>
      </c>
      <c r="J2" s="1105" t="inlineStr">
        <is>
          <t>실재고총계</t>
        </is>
      </c>
      <c r="K2" s="1105" t="inlineStr">
        <is>
          <t>전산재고총계</t>
        </is>
      </c>
      <c r="L2" s="1110" t="inlineStr">
        <is>
          <t>차이</t>
        </is>
      </c>
      <c r="M2" s="1111" t="inlineStr">
        <is>
          <t>비고</t>
        </is>
      </c>
      <c r="N2" s="1105" t="inlineStr">
        <is>
          <t>불량실재고</t>
        </is>
      </c>
      <c r="O2" s="1105" t="inlineStr">
        <is>
          <t>불량전산재고</t>
        </is>
      </c>
      <c r="P2" s="1105" t="inlineStr">
        <is>
          <t>차이</t>
        </is>
      </c>
    </row>
    <row r="3" ht="11.1" customHeight="1" s="744">
      <c r="B3" s="785" t="n"/>
      <c r="C3" s="785" t="n"/>
      <c r="D3" s="785" t="n"/>
      <c r="E3" s="785" t="n"/>
      <c r="F3" s="785" t="n"/>
      <c r="G3" s="785" t="n"/>
      <c r="H3" s="785" t="n"/>
      <c r="I3" s="785" t="n"/>
      <c r="J3" s="785" t="n"/>
      <c r="K3" s="785" t="n"/>
      <c r="L3" s="1112" t="n"/>
      <c r="M3" s="1112" t="n"/>
      <c r="N3" s="785" t="n"/>
      <c r="O3" s="785" t="n"/>
      <c r="P3" s="785" t="n"/>
    </row>
    <row r="4" ht="11.1" customHeight="1" s="744" thickBot="1">
      <c r="B4" s="757" t="n"/>
      <c r="C4" s="757" t="n"/>
      <c r="D4" s="757" t="n"/>
      <c r="E4" s="757" t="n"/>
      <c r="F4" s="757" t="n"/>
      <c r="G4" s="757" t="n"/>
      <c r="H4" s="757" t="n"/>
      <c r="I4" s="757" t="n"/>
      <c r="J4" s="757" t="n"/>
      <c r="K4" s="757" t="n"/>
      <c r="L4" s="758" t="n"/>
      <c r="M4" s="758" t="n"/>
      <c r="N4" s="757" t="n"/>
      <c r="O4" s="757" t="n"/>
      <c r="P4" s="757" t="n"/>
    </row>
    <row r="5" ht="18" customFormat="1" customHeight="1" s="129">
      <c r="B5" s="674" t="inlineStr">
        <is>
          <t>무선충전기</t>
        </is>
      </c>
      <c r="C5" s="248" t="inlineStr">
        <is>
          <t>QWC-Q1500GR</t>
        </is>
      </c>
      <c r="D5" s="1113" t="n"/>
      <c r="E5" s="1114" t="n"/>
      <c r="F5" s="1115" t="n"/>
      <c r="G5" s="1114" t="n"/>
      <c r="H5" s="1114" t="n"/>
      <c r="I5" s="1116" t="n"/>
      <c r="J5" s="1114" t="n"/>
      <c r="K5" s="1114" t="n"/>
      <c r="L5" s="1117" t="n"/>
      <c r="M5" s="156" t="n"/>
      <c r="N5" s="1118" t="n"/>
      <c r="O5" s="1114" t="n"/>
      <c r="P5" s="1118" t="n"/>
    </row>
    <row r="6" ht="18" customFormat="1" customHeight="1" s="129">
      <c r="B6" s="785" t="n"/>
      <c r="C6" s="215" t="inlineStr">
        <is>
          <t>QWC-Q1500WH</t>
        </is>
      </c>
      <c r="D6" s="1119" t="n"/>
      <c r="E6" s="1120" t="n"/>
      <c r="F6" s="1121" t="n"/>
      <c r="G6" s="1122" t="n"/>
      <c r="H6" s="1122" t="n"/>
      <c r="I6" s="1123" t="n"/>
      <c r="J6" s="1124" t="n"/>
      <c r="K6" s="1124" t="n"/>
      <c r="L6" s="1125" t="n"/>
      <c r="M6" s="142" t="n"/>
      <c r="N6" s="1126" t="n"/>
      <c r="O6" s="1126" t="n"/>
      <c r="P6" s="1126" t="n"/>
    </row>
    <row r="7" ht="18" customFormat="1" customHeight="1" s="129">
      <c r="B7" s="785" t="n"/>
      <c r="C7" s="215" t="inlineStr">
        <is>
          <t>QWC-Q1500-GR-PM</t>
        </is>
      </c>
      <c r="D7" s="1119" t="n"/>
      <c r="E7" s="1120" t="n"/>
      <c r="F7" s="1121" t="n"/>
      <c r="G7" s="1122" t="n"/>
      <c r="H7" s="1122" t="n"/>
      <c r="I7" s="1123" t="n"/>
      <c r="J7" s="1124" t="n"/>
      <c r="K7" s="1124" t="n"/>
      <c r="L7" s="1125" t="n"/>
      <c r="M7" s="142" t="n"/>
      <c r="N7" s="1126" t="n"/>
      <c r="O7" s="1126" t="n"/>
      <c r="P7" s="1126" t="n"/>
    </row>
    <row r="8" ht="18" customFormat="1" customHeight="1" s="129">
      <c r="B8" s="785" t="n"/>
      <c r="C8" s="215" t="inlineStr">
        <is>
          <t>QWC-Q1500-WH-PM</t>
        </is>
      </c>
      <c r="D8" s="1119" t="n"/>
      <c r="E8" s="1120" t="n"/>
      <c r="F8" s="1121" t="n"/>
      <c r="G8" s="1122" t="n"/>
      <c r="H8" s="1122" t="n"/>
      <c r="I8" s="1123" t="n"/>
      <c r="J8" s="1124" t="n"/>
      <c r="K8" s="1124" t="n"/>
      <c r="L8" s="1125" t="n"/>
      <c r="M8" s="142" t="n"/>
      <c r="N8" s="1126" t="n"/>
      <c r="O8" s="1126" t="n"/>
      <c r="P8" s="1126" t="n"/>
    </row>
    <row r="9" ht="18" customFormat="1" customHeight="1" s="129">
      <c r="B9" s="785" t="n"/>
      <c r="C9" s="215" t="inlineStr">
        <is>
          <t>QWC-QS1500-BL</t>
        </is>
      </c>
      <c r="D9" s="1119" t="n"/>
      <c r="E9" s="1120" t="n"/>
      <c r="F9" s="1121" t="n"/>
      <c r="G9" s="1122" t="n"/>
      <c r="H9" s="1122" t="n"/>
      <c r="I9" s="1123" t="n"/>
      <c r="J9" s="1124" t="n"/>
      <c r="K9" s="1124" t="n"/>
      <c r="L9" s="1125" t="n"/>
      <c r="M9" s="149" t="n"/>
      <c r="N9" s="1126" t="n"/>
      <c r="O9" s="1126" t="n"/>
      <c r="P9" s="1126" t="n"/>
    </row>
    <row r="10" ht="18" customFormat="1" customHeight="1" s="129">
      <c r="B10" s="785" t="n"/>
      <c r="C10" s="215" t="inlineStr">
        <is>
          <t>QWC-QS1500-PK</t>
        </is>
      </c>
      <c r="D10" s="1119" t="n"/>
      <c r="E10" s="1120" t="n"/>
      <c r="F10" s="1121" t="n"/>
      <c r="G10" s="1122" t="n"/>
      <c r="H10" s="1122" t="n"/>
      <c r="I10" s="1123" t="n"/>
      <c r="J10" s="1124" t="n"/>
      <c r="K10" s="1124" t="n"/>
      <c r="L10" s="1125" t="n"/>
      <c r="M10" s="149" t="n"/>
      <c r="N10" s="1126" t="n"/>
      <c r="O10" s="1126" t="n"/>
      <c r="P10" s="1126" t="n"/>
    </row>
    <row r="11" ht="18" customFormat="1" customHeight="1" s="129">
      <c r="B11" s="785" t="n"/>
      <c r="C11" s="699" t="inlineStr">
        <is>
          <t>QWC-QS1500-GR</t>
        </is>
      </c>
      <c r="D11" s="1127" t="n"/>
      <c r="E11" s="1128" t="n"/>
      <c r="F11" s="1129" t="n"/>
      <c r="G11" s="1130" t="n"/>
      <c r="H11" s="1130" t="n"/>
      <c r="I11" s="1131" t="n"/>
      <c r="J11" s="1126" t="n"/>
      <c r="K11" s="1126" t="n"/>
      <c r="L11" s="1132" t="n"/>
      <c r="M11" s="149" t="n"/>
      <c r="N11" s="1126" t="n"/>
      <c r="O11" s="1126" t="n"/>
      <c r="P11" s="1126" t="n"/>
    </row>
    <row r="12" ht="18" customFormat="1" customHeight="1" s="129">
      <c r="B12" s="785" t="n"/>
      <c r="C12" s="215" t="inlineStr">
        <is>
          <t>SET-SOMEONE-PINK</t>
        </is>
      </c>
      <c r="D12" s="1119" t="n"/>
      <c r="E12" s="1128" t="n"/>
      <c r="F12" s="1129" t="n"/>
      <c r="G12" s="1130" t="n"/>
      <c r="H12" s="1130" t="n"/>
      <c r="I12" s="1131" t="n"/>
      <c r="J12" s="1126" t="n"/>
      <c r="K12" s="1126" t="n"/>
      <c r="L12" s="1132" t="n"/>
      <c r="M12" s="149" t="n"/>
      <c r="N12" s="1126" t="n"/>
      <c r="O12" s="1126" t="n"/>
      <c r="P12" s="1126" t="n"/>
    </row>
    <row r="13" ht="18" customFormat="1" customHeight="1" s="129">
      <c r="B13" s="785" t="n"/>
      <c r="C13" s="215" t="inlineStr">
        <is>
          <t>SOMEONE-BLUE</t>
        </is>
      </c>
      <c r="D13" s="1119" t="n"/>
      <c r="E13" s="1128" t="n"/>
      <c r="F13" s="1129" t="n"/>
      <c r="G13" s="1130" t="n"/>
      <c r="H13" s="1130" t="n"/>
      <c r="I13" s="1131" t="n"/>
      <c r="J13" s="1126" t="n"/>
      <c r="K13" s="1126" t="n"/>
      <c r="L13" s="1132" t="n"/>
      <c r="M13" s="149" t="n"/>
      <c r="N13" s="1126" t="n"/>
      <c r="O13" s="1126" t="n"/>
      <c r="P13" s="1126" t="n"/>
    </row>
    <row r="14" ht="18" customFormat="1" customHeight="1" s="129">
      <c r="B14" s="785" t="n"/>
      <c r="C14" s="215" t="inlineStr">
        <is>
          <t>QWC-Q3100S-BK</t>
        </is>
      </c>
      <c r="D14" s="1119" t="n"/>
      <c r="E14" s="1120" t="n"/>
      <c r="F14" s="1121" t="n"/>
      <c r="G14" s="1122" t="n"/>
      <c r="H14" s="1122" t="n"/>
      <c r="I14" s="1123" t="n"/>
      <c r="J14" s="1124" t="n"/>
      <c r="K14" s="1124" t="n"/>
      <c r="L14" s="1125" t="n"/>
      <c r="M14" s="142" t="n"/>
      <c r="N14" s="1126" t="n"/>
      <c r="O14" s="1126" t="n"/>
      <c r="P14" s="1126" t="n"/>
    </row>
    <row r="15" ht="18" customFormat="1" customHeight="1" s="129">
      <c r="B15" s="785" t="n"/>
      <c r="C15" s="215" t="inlineStr">
        <is>
          <t>QWC-Q3100S-WH</t>
        </is>
      </c>
      <c r="D15" s="1119" t="n"/>
      <c r="E15" s="1128" t="n"/>
      <c r="F15" s="1129" t="n"/>
      <c r="G15" s="1130" t="n"/>
      <c r="H15" s="1130" t="n"/>
      <c r="I15" s="1131" t="n"/>
      <c r="J15" s="1126" t="n"/>
      <c r="K15" s="1126" t="n"/>
      <c r="L15" s="1132" t="n"/>
      <c r="M15" s="149" t="n"/>
      <c r="N15" s="1126" t="n"/>
      <c r="O15" s="1126" t="n"/>
      <c r="P15" s="1126" t="n"/>
    </row>
    <row r="16" ht="18" customFormat="1" customHeight="1" s="129">
      <c r="B16" s="785" t="n"/>
      <c r="C16" s="215" t="inlineStr">
        <is>
          <t>QWC-Q3100S-BK_PM</t>
        </is>
      </c>
      <c r="D16" s="1119" t="n"/>
      <c r="E16" s="1128" t="n"/>
      <c r="F16" s="1129" t="n"/>
      <c r="G16" s="1130" t="n"/>
      <c r="H16" s="1130" t="n"/>
      <c r="I16" s="1131" t="n"/>
      <c r="J16" s="1126" t="n"/>
      <c r="K16" s="1126" t="n"/>
      <c r="L16" s="1132" t="n"/>
      <c r="M16" s="149" t="n"/>
      <c r="N16" s="1126" t="n"/>
      <c r="O16" s="1126" t="n"/>
      <c r="P16" s="1126" t="n"/>
    </row>
    <row r="17" ht="18" customFormat="1" customHeight="1" s="129">
      <c r="B17" s="785" t="n"/>
      <c r="C17" s="215" t="inlineStr">
        <is>
          <t>QMC-QM4100_GY</t>
        </is>
      </c>
      <c r="D17" s="1119" t="n"/>
      <c r="E17" s="1128" t="n"/>
      <c r="F17" s="1129" t="n"/>
      <c r="G17" s="1130" t="n"/>
      <c r="H17" s="1130" t="n"/>
      <c r="I17" s="1131" t="n"/>
      <c r="J17" s="1126" t="n"/>
      <c r="K17" s="1126" t="n"/>
      <c r="L17" s="1132" t="n"/>
      <c r="M17" s="149" t="n"/>
      <c r="N17" s="1126" t="n"/>
      <c r="O17" s="1126" t="n"/>
      <c r="P17" s="1126" t="n"/>
    </row>
    <row r="18" ht="18" customFormat="1" customHeight="1" s="129">
      <c r="B18" s="785" t="n"/>
      <c r="C18" s="215" t="inlineStr">
        <is>
          <t>QMC-QM4100_WH</t>
        </is>
      </c>
      <c r="D18" s="1119" t="n"/>
      <c r="E18" s="1128" t="n"/>
      <c r="F18" s="1129" t="n"/>
      <c r="G18" s="1130" t="n"/>
      <c r="H18" s="1130" t="n"/>
      <c r="I18" s="1131" t="n"/>
      <c r="J18" s="1126" t="n"/>
      <c r="K18" s="1126" t="n"/>
      <c r="L18" s="1132" t="n"/>
      <c r="M18" s="149" t="n"/>
      <c r="N18" s="1126" t="n"/>
      <c r="O18" s="1126" t="n"/>
      <c r="P18" s="1126" t="n"/>
    </row>
    <row r="19" ht="18" customFormat="1" customHeight="1" s="129">
      <c r="B19" s="785" t="n"/>
      <c r="C19" s="215" t="inlineStr">
        <is>
          <t>QMC-ACONE-MB</t>
        </is>
      </c>
      <c r="D19" s="1119" t="n"/>
      <c r="E19" s="1128" t="n"/>
      <c r="F19" s="1129" t="n"/>
      <c r="G19" s="1130" t="n"/>
      <c r="H19" s="1130" t="n"/>
      <c r="I19" s="1131" t="n"/>
      <c r="J19" s="1126" t="n"/>
      <c r="K19" s="1126" t="n"/>
      <c r="L19" s="1132" t="n"/>
      <c r="M19" s="149" t="n"/>
      <c r="N19" s="1126" t="n"/>
      <c r="O19" s="1126" t="n"/>
      <c r="P19" s="1126" t="n"/>
    </row>
    <row r="20" ht="18" customFormat="1" customHeight="1" s="129">
      <c r="B20" s="785" t="n"/>
      <c r="C20" s="215" t="inlineStr">
        <is>
          <t>QMC-ACONE-SS</t>
        </is>
      </c>
      <c r="D20" s="1119" t="n"/>
      <c r="E20" s="1128" t="n"/>
      <c r="F20" s="1129" t="n"/>
      <c r="G20" s="1130" t="n"/>
      <c r="H20" s="1130" t="n"/>
      <c r="I20" s="1131" t="n"/>
      <c r="J20" s="1126" t="n"/>
      <c r="K20" s="1126" t="n"/>
      <c r="L20" s="1132" t="n"/>
      <c r="M20" s="149" t="n"/>
      <c r="N20" s="1126" t="n"/>
      <c r="O20" s="1126" t="n"/>
      <c r="P20" s="1126" t="n"/>
    </row>
    <row r="21" ht="18" customFormat="1" customHeight="1" s="129">
      <c r="B21" s="785" t="n"/>
      <c r="C21" s="215" t="inlineStr">
        <is>
          <t>QMC-ACONE-WL</t>
        </is>
      </c>
      <c r="D21" s="1119" t="n"/>
      <c r="E21" s="1128" t="n"/>
      <c r="F21" s="1129" t="n"/>
      <c r="G21" s="1130" t="n"/>
      <c r="H21" s="1130" t="n"/>
      <c r="I21" s="1131" t="n"/>
      <c r="J21" s="1126" t="n"/>
      <c r="K21" s="1126" t="n"/>
      <c r="L21" s="1132" t="n"/>
      <c r="M21" s="149" t="n"/>
      <c r="N21" s="1126" t="n"/>
      <c r="O21" s="1126" t="n"/>
      <c r="P21" s="1126" t="n"/>
    </row>
    <row r="22" ht="18" customFormat="1" customHeight="1" s="129">
      <c r="B22" s="785" t="n"/>
      <c r="C22" s="215" t="inlineStr">
        <is>
          <t>QMC-ACONE-MS</t>
        </is>
      </c>
      <c r="D22" s="1119" t="n"/>
      <c r="E22" s="1128" t="n"/>
      <c r="F22" s="1129" t="n"/>
      <c r="G22" s="1130" t="n"/>
      <c r="H22" s="1130" t="n"/>
      <c r="I22" s="1131" t="n"/>
      <c r="J22" s="1126" t="n"/>
      <c r="K22" s="1126" t="n"/>
      <c r="L22" s="1132" t="n"/>
      <c r="M22" s="149" t="n"/>
      <c r="N22" s="1126" t="n"/>
      <c r="O22" s="1126" t="n"/>
      <c r="P22" s="1126" t="n"/>
    </row>
    <row r="23" ht="18" customFormat="1" customHeight="1" s="126">
      <c r="A23" s="129" t="n"/>
      <c r="B23" s="785" t="n"/>
      <c r="C23" s="215" t="inlineStr">
        <is>
          <t>QWC-CW500</t>
        </is>
      </c>
      <c r="D23" s="1119" t="n"/>
      <c r="E23" s="1120" t="n"/>
      <c r="F23" s="1121" t="n"/>
      <c r="G23" s="1122" t="n"/>
      <c r="H23" s="1122" t="n"/>
      <c r="I23" s="1123" t="n"/>
      <c r="J23" s="1124" t="n"/>
      <c r="K23" s="1124" t="n"/>
      <c r="L23" s="1125" t="n"/>
      <c r="M23" s="131" t="n"/>
      <c r="N23" s="1124" t="n"/>
      <c r="O23" s="1124" t="n"/>
      <c r="P23" s="1124" t="n"/>
    </row>
    <row r="24" ht="18" customFormat="1" customHeight="1" s="126">
      <c r="A24" s="129" t="n"/>
      <c r="B24" s="785" t="n"/>
      <c r="C24" s="245" t="inlineStr">
        <is>
          <t>QWC-L5100-A</t>
        </is>
      </c>
      <c r="D24" s="1133" t="n"/>
      <c r="E24" s="1134" t="n"/>
      <c r="F24" s="1135" t="n"/>
      <c r="G24" s="1136" t="n"/>
      <c r="H24" s="1136" t="n"/>
      <c r="I24" s="1137" t="n"/>
      <c r="J24" s="1138" t="n"/>
      <c r="K24" s="1138" t="n"/>
      <c r="L24" s="1139" t="n"/>
      <c r="M24" s="137" t="n"/>
      <c r="N24" s="1138" t="n"/>
      <c r="O24" s="1138" t="n"/>
      <c r="P24" s="1138" t="n"/>
    </row>
    <row r="25" ht="18" customFormat="1" customHeight="1" s="126">
      <c r="A25" s="129" t="n"/>
      <c r="B25" s="785" t="n"/>
      <c r="C25" s="245" t="inlineStr">
        <is>
          <t>QWC-L5100-S</t>
        </is>
      </c>
      <c r="D25" s="1133" t="n"/>
      <c r="E25" s="1134" t="n"/>
      <c r="F25" s="1135" t="n"/>
      <c r="G25" s="1136" t="n"/>
      <c r="H25" s="1136" t="n"/>
      <c r="I25" s="1137" t="n"/>
      <c r="J25" s="1138" t="n"/>
      <c r="K25" s="1138" t="n"/>
      <c r="L25" s="1139" t="n"/>
      <c r="M25" s="137" t="n"/>
      <c r="N25" s="1138" t="n"/>
      <c r="O25" s="1138" t="n"/>
      <c r="P25" s="1138" t="n"/>
    </row>
    <row r="26" ht="18" customFormat="1" customHeight="1" s="126">
      <c r="A26" s="129" t="n"/>
      <c r="B26" s="785" t="n"/>
      <c r="C26" s="245" t="inlineStr">
        <is>
          <t>QMC-T3100_BE</t>
        </is>
      </c>
      <c r="D26" s="1133" t="n"/>
      <c r="E26" s="1134" t="n"/>
      <c r="F26" s="1135" t="n"/>
      <c r="G26" s="1136" t="n"/>
      <c r="H26" s="1136" t="n"/>
      <c r="I26" s="1137" t="n"/>
      <c r="J26" s="1138" t="n"/>
      <c r="K26" s="1138" t="n"/>
      <c r="L26" s="1139" t="n"/>
      <c r="M26" s="137" t="n"/>
      <c r="N26" s="1138" t="n"/>
      <c r="O26" s="1138" t="n"/>
      <c r="P26" s="1138" t="n"/>
    </row>
    <row r="27" ht="18" customFormat="1" customHeight="1" s="126">
      <c r="A27" s="129" t="n"/>
      <c r="B27" s="785" t="n"/>
      <c r="C27" s="245" t="inlineStr">
        <is>
          <t>QMC-T3100_BK</t>
        </is>
      </c>
      <c r="D27" s="1133" t="n"/>
      <c r="E27" s="1134" t="n"/>
      <c r="F27" s="1135" t="n"/>
      <c r="G27" s="1136" t="n"/>
      <c r="H27" s="1136" t="n"/>
      <c r="I27" s="1137" t="n"/>
      <c r="J27" s="1138" t="n"/>
      <c r="K27" s="1138" t="n"/>
      <c r="L27" s="1139" t="n"/>
      <c r="M27" s="137" t="n"/>
      <c r="N27" s="1138" t="n"/>
      <c r="O27" s="1138" t="n"/>
      <c r="P27" s="1138" t="n"/>
    </row>
    <row r="28" ht="18" customFormat="1" customHeight="1" s="126" thickBot="1">
      <c r="A28" s="129" t="n"/>
      <c r="B28" s="785" t="n"/>
      <c r="C28" s="245" t="inlineStr">
        <is>
          <t>QWC-A1500A</t>
        </is>
      </c>
      <c r="D28" s="1133" t="n"/>
      <c r="E28" s="1134" t="n"/>
      <c r="F28" s="1135" t="n"/>
      <c r="G28" s="1136" t="n"/>
      <c r="H28" s="1136" t="n"/>
      <c r="I28" s="1137" t="n"/>
      <c r="J28" s="1138" t="n"/>
      <c r="K28" s="1138" t="n"/>
      <c r="L28" s="1139" t="n"/>
      <c r="M28" s="218" t="n"/>
      <c r="N28" s="1138" t="n"/>
      <c r="O28" s="1138" t="n"/>
      <c r="P28" s="1138" t="n"/>
      <c r="T28" s="249" t="n"/>
    </row>
    <row r="29" ht="18" customFormat="1" customHeight="1" s="126">
      <c r="A29" s="129" t="n"/>
      <c r="B29" s="673" t="inlineStr">
        <is>
          <t>보조배터리</t>
        </is>
      </c>
      <c r="C29" s="344" t="inlineStr">
        <is>
          <t>[RQM]-QMP5-WH</t>
        </is>
      </c>
      <c r="D29" s="1140" t="n"/>
      <c r="E29" s="1141" t="n"/>
      <c r="F29" s="1142" t="n"/>
      <c r="G29" s="1143" t="n"/>
      <c r="H29" s="1143" t="n"/>
      <c r="I29" s="1144" t="n"/>
      <c r="J29" s="1145" t="n"/>
      <c r="K29" s="1146" t="n"/>
      <c r="L29" s="1147" t="n"/>
      <c r="M29" s="139" t="n"/>
      <c r="N29" s="1145" t="n"/>
      <c r="O29" s="1146" t="n"/>
      <c r="P29" s="1145" t="n"/>
    </row>
    <row r="30" ht="18" customFormat="1" customHeight="1" s="126">
      <c r="A30" s="129" t="n"/>
      <c r="B30" s="785" t="n"/>
      <c r="C30" s="245" t="inlineStr">
        <is>
          <t>[RQM]-QP1000C1-BK</t>
        </is>
      </c>
      <c r="D30" s="1133" t="n"/>
      <c r="E30" s="1134" t="n"/>
      <c r="F30" s="1135" t="n"/>
      <c r="G30" s="1136" t="n"/>
      <c r="H30" s="1136" t="n"/>
      <c r="I30" s="1137" t="n"/>
      <c r="J30" s="1138" t="n"/>
      <c r="K30" s="1138" t="n"/>
      <c r="L30" s="1139" t="n"/>
      <c r="M30" s="1148" t="n"/>
      <c r="N30" s="1138" t="n"/>
      <c r="O30" s="1138" t="n"/>
      <c r="P30" s="1138" t="n"/>
    </row>
    <row r="31" ht="18" customFormat="1" customHeight="1" s="126">
      <c r="A31" s="129" t="n"/>
      <c r="B31" s="785" t="n"/>
      <c r="C31" s="245" t="inlineStr">
        <is>
          <t>[RQM]-QP1000C1-WH</t>
        </is>
      </c>
      <c r="D31" s="1149" t="n"/>
      <c r="E31" s="1150" t="n"/>
      <c r="F31" s="1151" t="n"/>
      <c r="G31" s="1152" t="n"/>
      <c r="H31" s="1152" t="n"/>
      <c r="I31" s="1153" t="n"/>
      <c r="J31" s="1154" t="n"/>
      <c r="K31" s="1154" t="n"/>
      <c r="L31" s="1155" t="n"/>
      <c r="M31" s="1148" t="n"/>
      <c r="N31" s="1138" t="n"/>
      <c r="O31" s="1138" t="n"/>
      <c r="P31" s="1138" t="n"/>
    </row>
    <row r="32" ht="18" customFormat="1" customHeight="1" s="126">
      <c r="A32" s="129" t="n"/>
      <c r="B32" s="785" t="n"/>
      <c r="C32" s="245" t="inlineStr">
        <is>
          <t>[RQM]-QP1000C1-BL</t>
        </is>
      </c>
      <c r="D32" s="1133" t="n"/>
      <c r="E32" s="1150" t="n"/>
      <c r="F32" s="1151" t="n"/>
      <c r="G32" s="1152" t="n"/>
      <c r="H32" s="1152" t="n"/>
      <c r="I32" s="1153" t="n"/>
      <c r="J32" s="1154" t="n"/>
      <c r="K32" s="1154" t="n"/>
      <c r="L32" s="1155" t="n"/>
      <c r="M32" s="1148" t="n"/>
      <c r="N32" s="1138" t="n"/>
      <c r="O32" s="1138" t="n"/>
      <c r="P32" s="1138" t="n"/>
    </row>
    <row r="33" ht="18" customFormat="1" customHeight="1" s="126">
      <c r="A33" s="129" t="n"/>
      <c r="B33" s="785" t="n"/>
      <c r="C33" s="245" t="inlineStr">
        <is>
          <t>[RQM]-QP1000C1-PK</t>
        </is>
      </c>
      <c r="D33" s="1133" t="n"/>
      <c r="E33" s="1150" t="n"/>
      <c r="F33" s="1151" t="n"/>
      <c r="G33" s="1152" t="n"/>
      <c r="H33" s="1152" t="n"/>
      <c r="I33" s="1153" t="n"/>
      <c r="J33" s="1154" t="n"/>
      <c r="K33" s="1154" t="n"/>
      <c r="L33" s="1155" t="n"/>
      <c r="M33" s="1148" t="n"/>
      <c r="N33" s="1138" t="n"/>
      <c r="O33" s="1138" t="n"/>
      <c r="P33" s="1138" t="n"/>
    </row>
    <row r="34" ht="18" customFormat="1" customHeight="1" s="126">
      <c r="A34" s="129" t="n"/>
      <c r="B34" s="785" t="n"/>
      <c r="C34" s="245" t="inlineStr">
        <is>
          <t>QP1000C1-Butter</t>
        </is>
      </c>
      <c r="D34" s="1149" t="n"/>
      <c r="E34" s="1150" t="n"/>
      <c r="F34" s="1151" t="n"/>
      <c r="G34" s="1152" t="n"/>
      <c r="H34" s="1152" t="n"/>
      <c r="I34" s="1153" t="n"/>
      <c r="J34" s="1154" t="n"/>
      <c r="K34" s="1154" t="n"/>
      <c r="L34" s="1155" t="n"/>
      <c r="M34" s="1148" t="n"/>
      <c r="N34" s="1138" t="n"/>
      <c r="O34" s="1138" t="n"/>
      <c r="P34" s="1138" t="n"/>
    </row>
    <row r="35" ht="18" customFormat="1" customHeight="1" s="126">
      <c r="A35" s="129" t="n"/>
      <c r="B35" s="785" t="n"/>
      <c r="C35" s="245" t="inlineStr">
        <is>
          <t>QP1000C1-Carrot</t>
        </is>
      </c>
      <c r="D35" s="1149" t="n"/>
      <c r="E35" s="1150" t="n"/>
      <c r="F35" s="1151" t="n"/>
      <c r="G35" s="1152" t="n"/>
      <c r="H35" s="1152" t="n"/>
      <c r="I35" s="1153" t="n"/>
      <c r="J35" s="1154" t="n"/>
      <c r="K35" s="1154" t="n"/>
      <c r="L35" s="1155" t="n"/>
      <c r="M35" s="1148" t="n"/>
      <c r="N35" s="1138" t="n"/>
      <c r="O35" s="1138" t="n"/>
      <c r="P35" s="1138" t="n"/>
    </row>
    <row r="36" ht="18" customFormat="1" customHeight="1" s="126">
      <c r="A36" s="129" t="n"/>
      <c r="B36" s="785" t="n"/>
      <c r="C36" s="245" t="inlineStr">
        <is>
          <t>QP1000C1-NeonGreen</t>
        </is>
      </c>
      <c r="D36" s="1149" t="n"/>
      <c r="E36" s="1150" t="n"/>
      <c r="F36" s="1151" t="n"/>
      <c r="G36" s="1152" t="n"/>
      <c r="H36" s="1152" t="n"/>
      <c r="I36" s="1153" t="n"/>
      <c r="J36" s="1154" t="n"/>
      <c r="K36" s="1154" t="n"/>
      <c r="L36" s="1155" t="n"/>
      <c r="M36" s="1148" t="n"/>
      <c r="N36" s="1138" t="n"/>
      <c r="O36" s="1138" t="n"/>
      <c r="P36" s="1138" t="n"/>
    </row>
    <row r="37" ht="18" customFormat="1" customHeight="1" s="126">
      <c r="A37" s="129" t="n"/>
      <c r="B37" s="785" t="n"/>
      <c r="C37" s="245" t="inlineStr">
        <is>
          <t>QP1000C1-CobaltBlue</t>
        </is>
      </c>
      <c r="D37" s="1149" t="n"/>
      <c r="E37" s="1150" t="n"/>
      <c r="F37" s="1151" t="n"/>
      <c r="G37" s="1152" t="n"/>
      <c r="H37" s="1152" t="n"/>
      <c r="I37" s="1153" t="n"/>
      <c r="J37" s="1154" t="n"/>
      <c r="K37" s="1154" t="n"/>
      <c r="L37" s="1155" t="n"/>
      <c r="M37" s="1148" t="n"/>
      <c r="N37" s="1138" t="n"/>
      <c r="O37" s="1138" t="n"/>
      <c r="P37" s="1138" t="n"/>
    </row>
    <row r="38" ht="18" customFormat="1" customHeight="1" s="126">
      <c r="A38" s="129" t="n"/>
      <c r="B38" s="785" t="n"/>
      <c r="C38" s="245" t="inlineStr">
        <is>
          <t>[RQM]-QP2000C1-BK</t>
        </is>
      </c>
      <c r="D38" s="1149" t="n"/>
      <c r="E38" s="1150" t="n"/>
      <c r="F38" s="1151" t="n"/>
      <c r="G38" s="1152" t="n"/>
      <c r="H38" s="1152" t="n"/>
      <c r="I38" s="1153" t="n"/>
      <c r="J38" s="1154" t="n"/>
      <c r="K38" s="1154" t="n"/>
      <c r="L38" s="1155" t="n"/>
      <c r="M38" s="1156" t="n"/>
      <c r="N38" s="1138" t="n"/>
      <c r="O38" s="1138" t="n"/>
      <c r="P38" s="1138" t="n"/>
    </row>
    <row r="39" ht="18" customFormat="1" customHeight="1" s="126">
      <c r="A39" s="129" t="n"/>
      <c r="B39" s="785" t="n"/>
      <c r="C39" s="135" t="inlineStr">
        <is>
          <t>[RQM]-QP2000C1-WH</t>
        </is>
      </c>
      <c r="D39" s="1149" t="n"/>
      <c r="E39" s="1150" t="n"/>
      <c r="F39" s="1151" t="n"/>
      <c r="G39" s="1152" t="n"/>
      <c r="H39" s="1152" t="n"/>
      <c r="I39" s="1153" t="n"/>
      <c r="J39" s="1154" t="n"/>
      <c r="K39" s="1154" t="n"/>
      <c r="L39" s="1155" t="n"/>
      <c r="M39" s="232" t="n"/>
      <c r="N39" s="1138" t="n"/>
      <c r="O39" s="1138" t="n"/>
      <c r="P39" s="1138" t="n"/>
    </row>
    <row r="40" ht="18" customFormat="1" customHeight="1" s="126">
      <c r="A40" s="129" t="n"/>
      <c r="B40" s="785" t="n"/>
      <c r="C40" s="245" t="inlineStr">
        <is>
          <t>[RQM]-QP2000C1-Beige</t>
        </is>
      </c>
      <c r="D40" s="1149" t="n"/>
      <c r="E40" s="1150" t="n"/>
      <c r="F40" s="1151" t="n"/>
      <c r="G40" s="1152" t="n"/>
      <c r="H40" s="1152" t="n"/>
      <c r="I40" s="1153" t="n"/>
      <c r="J40" s="1154" t="n"/>
      <c r="K40" s="1154" t="n"/>
      <c r="L40" s="1155" t="n"/>
      <c r="M40" s="232" t="n"/>
      <c r="N40" s="1138" t="n"/>
      <c r="O40" s="1138" t="n"/>
      <c r="P40" s="1138" t="n"/>
    </row>
    <row r="41" ht="18" customFormat="1" customHeight="1" s="126">
      <c r="A41" s="129" t="n"/>
      <c r="B41" s="785" t="n"/>
      <c r="C41" s="245" t="inlineStr">
        <is>
          <t>[RQM]-QP2000C1-Green</t>
        </is>
      </c>
      <c r="D41" s="1149" t="n"/>
      <c r="E41" s="1150" t="n"/>
      <c r="F41" s="1151" t="n"/>
      <c r="G41" s="1152" t="n"/>
      <c r="H41" s="1152" t="n"/>
      <c r="I41" s="1153" t="n"/>
      <c r="J41" s="1154" t="n"/>
      <c r="K41" s="1154" t="n"/>
      <c r="L41" s="1155" t="n"/>
      <c r="M41" s="232" t="n"/>
      <c r="N41" s="1138" t="n"/>
      <c r="O41" s="1138" t="n"/>
      <c r="P41" s="1138" t="n"/>
    </row>
    <row r="42" ht="18" customFormat="1" customHeight="1" s="126">
      <c r="A42" s="129" t="n"/>
      <c r="B42" s="785" t="n"/>
      <c r="C42" s="245" t="inlineStr">
        <is>
          <t>QP2000C_SageMint</t>
        </is>
      </c>
      <c r="D42" s="1149" t="n"/>
      <c r="E42" s="1150" t="n"/>
      <c r="F42" s="1151" t="n"/>
      <c r="G42" s="1152" t="n"/>
      <c r="H42" s="1152" t="n"/>
      <c r="I42" s="1153" t="n"/>
      <c r="J42" s="1154" t="n"/>
      <c r="K42" s="1154" t="n"/>
      <c r="L42" s="1155" t="n"/>
      <c r="M42" s="232" t="n"/>
      <c r="N42" s="1138" t="n"/>
      <c r="O42" s="1138" t="n"/>
      <c r="P42" s="1138" t="n"/>
    </row>
    <row r="43" ht="18" customFormat="1" customHeight="1" s="126">
      <c r="A43" s="129" t="n"/>
      <c r="B43" s="785" t="n"/>
      <c r="C43" s="245" t="inlineStr">
        <is>
          <t>QP2000C_TomatoRed</t>
        </is>
      </c>
      <c r="D43" s="1149" t="n"/>
      <c r="E43" s="1150" t="n"/>
      <c r="F43" s="1151" t="n"/>
      <c r="G43" s="1152" t="n"/>
      <c r="H43" s="1152" t="n"/>
      <c r="I43" s="1153" t="n"/>
      <c r="J43" s="1154" t="n"/>
      <c r="K43" s="1154" t="n"/>
      <c r="L43" s="1155" t="n"/>
      <c r="M43" s="232" t="n"/>
      <c r="N43" s="1138" t="n"/>
      <c r="O43" s="1138" t="n"/>
      <c r="P43" s="1138" t="n"/>
    </row>
    <row r="44" ht="18" customFormat="1" customHeight="1" s="126">
      <c r="A44" s="129" t="n"/>
      <c r="B44" s="785" t="n"/>
      <c r="C44" s="245" t="inlineStr">
        <is>
          <t>[RQM]QP2000A(CP)-BK</t>
        </is>
      </c>
      <c r="D44" s="1149" t="n"/>
      <c r="E44" s="1150" t="n"/>
      <c r="F44" s="1151" t="n"/>
      <c r="G44" s="1152" t="n"/>
      <c r="H44" s="1152" t="n"/>
      <c r="I44" s="1153" t="n"/>
      <c r="J44" s="1154" t="n"/>
      <c r="K44" s="1154" t="n"/>
      <c r="L44" s="1155" t="n"/>
      <c r="M44" s="232" t="n"/>
      <c r="N44" s="1138" t="n"/>
      <c r="O44" s="1138" t="n"/>
      <c r="P44" s="1138" t="n"/>
    </row>
    <row r="45" ht="18" customFormat="1" customHeight="1" s="126">
      <c r="A45" s="129" t="n"/>
      <c r="B45" s="785" t="n"/>
      <c r="C45" s="245" t="inlineStr">
        <is>
          <t>SP-일체형8핀</t>
        </is>
      </c>
      <c r="D45" s="1149" t="n"/>
      <c r="E45" s="1150" t="n"/>
      <c r="F45" s="1151" t="n"/>
      <c r="G45" s="1152" t="n"/>
      <c r="H45" s="1152" t="n"/>
      <c r="I45" s="1153" t="n"/>
      <c r="J45" s="1154" t="n"/>
      <c r="K45" s="1154" t="n"/>
      <c r="L45" s="1155" t="n"/>
      <c r="M45" s="232" t="n"/>
      <c r="N45" s="1138" t="n"/>
      <c r="O45" s="1138" t="n"/>
      <c r="P45" s="1138" t="n"/>
    </row>
    <row r="46" ht="18" customFormat="1" customHeight="1" s="126" thickBot="1">
      <c r="B46" s="785" t="n"/>
      <c r="C46" s="245" t="inlineStr">
        <is>
          <t>SP-AC50-공용8핀</t>
        </is>
      </c>
      <c r="D46" s="1149" t="n"/>
      <c r="E46" s="1150" t="n"/>
      <c r="F46" s="1151" t="n"/>
      <c r="G46" s="1152" t="n"/>
      <c r="H46" s="1152" t="n"/>
      <c r="I46" s="1153" t="n"/>
      <c r="J46" s="1154" t="n"/>
      <c r="K46" s="1154" t="n"/>
      <c r="L46" s="1155" t="n"/>
      <c r="M46" s="232" t="n"/>
      <c r="N46" s="1138" t="n"/>
      <c r="O46" s="1138" t="n"/>
      <c r="P46" s="1138" t="n"/>
    </row>
    <row r="47" ht="18" customFormat="1" customHeight="1" s="126">
      <c r="A47" s="129" t="n"/>
      <c r="B47" s="1105" t="inlineStr">
        <is>
          <t>셀카봉</t>
        </is>
      </c>
      <c r="C47" s="193" t="inlineStr">
        <is>
          <t>QS-QST01M_BK</t>
        </is>
      </c>
      <c r="D47" s="1157" t="n"/>
      <c r="E47" s="1158" t="n"/>
      <c r="F47" s="1159" t="n"/>
      <c r="G47" s="1160" t="n"/>
      <c r="H47" s="1160" t="n"/>
      <c r="I47" s="1161" t="n"/>
      <c r="J47" s="1162" t="n"/>
      <c r="K47" s="1162" t="n"/>
      <c r="L47" s="1163" t="n"/>
      <c r="M47" s="403" t="n"/>
      <c r="N47" s="1145" t="n"/>
      <c r="O47" s="1145" t="n"/>
      <c r="P47" s="1145" t="n"/>
    </row>
    <row r="48" ht="18" customFormat="1" customHeight="1" s="126">
      <c r="A48" s="129" t="n"/>
      <c r="B48" s="785" t="n"/>
      <c r="C48" s="174" t="inlineStr">
        <is>
          <t>QS-QST01M_WH</t>
        </is>
      </c>
      <c r="D48" s="1149" t="n"/>
      <c r="E48" s="1150" t="n"/>
      <c r="F48" s="1151" t="n"/>
      <c r="G48" s="1152" t="n"/>
      <c r="H48" s="1152" t="n"/>
      <c r="I48" s="1153" t="n"/>
      <c r="J48" s="1154" t="n"/>
      <c r="K48" s="1154" t="n"/>
      <c r="L48" s="1155" t="n"/>
      <c r="M48" s="137" t="n"/>
      <c r="N48" s="1138" t="n"/>
      <c r="O48" s="1138" t="n"/>
      <c r="P48" s="1138" t="n"/>
    </row>
    <row r="49" ht="18" customFormat="1" customHeight="1" s="126" thickBot="1">
      <c r="A49" s="129" t="n"/>
      <c r="B49" s="757" t="n"/>
      <c r="C49" s="246" t="inlineStr">
        <is>
          <t>QMS-QMS01_BK</t>
        </is>
      </c>
      <c r="D49" s="1164" t="n"/>
      <c r="E49" s="1165" t="n"/>
      <c r="F49" s="1166" t="n"/>
      <c r="G49" s="1167" t="n"/>
      <c r="H49" s="1167" t="n"/>
      <c r="I49" s="1168" t="n"/>
      <c r="J49" s="1169" t="n"/>
      <c r="K49" s="1169" t="n"/>
      <c r="L49" s="1170" t="n"/>
      <c r="M49" s="144" t="n"/>
      <c r="N49" s="1171" t="n"/>
      <c r="O49" s="1171" t="n"/>
      <c r="P49" s="1171" t="n"/>
    </row>
    <row r="50" ht="18" customFormat="1" customHeight="1" s="126">
      <c r="A50" s="129" t="n"/>
      <c r="B50" s="682" t="inlineStr">
        <is>
          <t>가정용충전기</t>
        </is>
      </c>
      <c r="C50" s="215" t="inlineStr">
        <is>
          <t>QPD-330_SGY</t>
        </is>
      </c>
      <c r="D50" s="1172" t="n"/>
      <c r="E50" s="1128" t="n"/>
      <c r="F50" s="1129" t="n"/>
      <c r="G50" s="1130" t="n"/>
      <c r="H50" s="1130" t="n"/>
      <c r="I50" s="1131" t="n"/>
      <c r="J50" s="1126" t="n"/>
      <c r="K50" s="1126" t="n"/>
      <c r="L50" s="1132" t="n"/>
      <c r="M50" s="142" t="n"/>
      <c r="N50" s="1124" t="n"/>
      <c r="O50" s="1124" t="n"/>
      <c r="P50" s="1124" t="n"/>
    </row>
    <row r="51" ht="18" customFormat="1" customHeight="1" s="126">
      <c r="A51" s="129" t="n"/>
      <c r="B51" s="785" t="n"/>
      <c r="C51" s="215" t="inlineStr">
        <is>
          <t>QPD-330_WH</t>
        </is>
      </c>
      <c r="D51" s="1172" t="n"/>
      <c r="E51" s="1128" t="n"/>
      <c r="F51" s="1129" t="n"/>
      <c r="G51" s="1130" t="n"/>
      <c r="H51" s="1130" t="n"/>
      <c r="I51" s="1131" t="n"/>
      <c r="J51" s="1126" t="n"/>
      <c r="K51" s="1126" t="n"/>
      <c r="L51" s="1132" t="n"/>
      <c r="M51" s="142" t="n"/>
      <c r="N51" s="1124" t="n"/>
      <c r="O51" s="1124" t="n"/>
      <c r="P51" s="1124" t="n"/>
    </row>
    <row r="52" ht="18" customFormat="1" customHeight="1" s="126">
      <c r="A52" s="129" t="n"/>
      <c r="B52" s="785" t="n"/>
      <c r="C52" s="90" t="inlineStr">
        <is>
          <t>QPD-330_BL</t>
        </is>
      </c>
      <c r="D52" s="1172" t="n"/>
      <c r="E52" s="1128" t="n"/>
      <c r="F52" s="1129" t="n"/>
      <c r="G52" s="1130" t="n"/>
      <c r="H52" s="1130" t="n"/>
      <c r="I52" s="1131" t="n"/>
      <c r="J52" s="1126" t="n"/>
      <c r="K52" s="1126" t="n"/>
      <c r="L52" s="1132" t="n"/>
      <c r="M52" s="142" t="n"/>
      <c r="N52" s="1124" t="n"/>
      <c r="O52" s="1124" t="n"/>
      <c r="P52" s="1124" t="n"/>
    </row>
    <row r="53" ht="18" customFormat="1" customHeight="1" s="126">
      <c r="A53" s="129" t="n"/>
      <c r="B53" s="785" t="n"/>
      <c r="C53" s="90" t="inlineStr">
        <is>
          <t>QPD-330_PK</t>
        </is>
      </c>
      <c r="D53" s="1172" t="n"/>
      <c r="E53" s="1128" t="n"/>
      <c r="F53" s="1129" t="n"/>
      <c r="G53" s="1130" t="n"/>
      <c r="H53" s="1130" t="n"/>
      <c r="I53" s="1131" t="n"/>
      <c r="J53" s="1126" t="n"/>
      <c r="K53" s="1126" t="n"/>
      <c r="L53" s="1132" t="n"/>
      <c r="M53" s="142" t="n"/>
      <c r="N53" s="1124" t="n"/>
      <c r="O53" s="1124" t="n"/>
      <c r="P53" s="1124" t="n"/>
    </row>
    <row r="54" ht="18" customFormat="1" customHeight="1" s="126">
      <c r="A54" s="129" t="n"/>
      <c r="B54" s="785" t="n"/>
      <c r="C54" s="135" t="inlineStr">
        <is>
          <t>QPD-365N_GY</t>
        </is>
      </c>
      <c r="D54" s="1173" t="n"/>
      <c r="E54" s="1150" t="n"/>
      <c r="F54" s="1151" t="n"/>
      <c r="G54" s="1152" t="n"/>
      <c r="H54" s="1152" t="n"/>
      <c r="I54" s="1153" t="n"/>
      <c r="J54" s="1154" t="n"/>
      <c r="K54" s="1154" t="n"/>
      <c r="L54" s="1155" t="n"/>
      <c r="M54" s="218" t="n"/>
      <c r="N54" s="1138" t="n"/>
      <c r="O54" s="1138" t="n"/>
      <c r="P54" s="1138" t="n"/>
    </row>
    <row r="55" ht="18" customFormat="1" customHeight="1" s="126">
      <c r="A55" s="129" t="n"/>
      <c r="B55" s="785" t="n"/>
      <c r="C55" s="135" t="inlineStr">
        <is>
          <t>QPD-365N_WH</t>
        </is>
      </c>
      <c r="D55" s="1173" t="n"/>
      <c r="E55" s="1150" t="n"/>
      <c r="F55" s="1151" t="n"/>
      <c r="G55" s="1152" t="n"/>
      <c r="H55" s="1152" t="n"/>
      <c r="I55" s="1153" t="n"/>
      <c r="J55" s="1154" t="n"/>
      <c r="K55" s="1154" t="n"/>
      <c r="L55" s="1155" t="n"/>
      <c r="M55" s="218" t="n"/>
      <c r="N55" s="1138" t="n"/>
      <c r="O55" s="1138" t="n"/>
      <c r="P55" s="1138" t="n"/>
    </row>
    <row r="56" ht="18" customFormat="1" customHeight="1" s="126">
      <c r="A56" s="129" t="n"/>
      <c r="B56" s="785" t="n"/>
      <c r="C56" s="135" t="inlineStr">
        <is>
          <t>QPD-365NP_GY</t>
        </is>
      </c>
      <c r="D56" s="1173" t="n"/>
      <c r="E56" s="1150" t="n"/>
      <c r="F56" s="1151" t="n"/>
      <c r="G56" s="1152" t="n"/>
      <c r="H56" s="1152" t="n"/>
      <c r="I56" s="1153" t="n"/>
      <c r="J56" s="1154" t="n"/>
      <c r="K56" s="1154" t="n"/>
      <c r="L56" s="1155" t="n"/>
      <c r="M56" s="218" t="n"/>
      <c r="N56" s="1138" t="n"/>
      <c r="O56" s="1138" t="n"/>
      <c r="P56" s="1138" t="n"/>
    </row>
    <row r="57" ht="18" customFormat="1" customHeight="1" s="126">
      <c r="A57" s="129" t="n"/>
      <c r="B57" s="785" t="n"/>
      <c r="C57" s="135" t="inlineStr">
        <is>
          <t>QPD-365NP_WH</t>
        </is>
      </c>
      <c r="D57" s="1173" t="n"/>
      <c r="E57" s="1150" t="n"/>
      <c r="F57" s="1151" t="n"/>
      <c r="G57" s="1152" t="n"/>
      <c r="H57" s="1152" t="n"/>
      <c r="I57" s="1153" t="n"/>
      <c r="J57" s="1154" t="n"/>
      <c r="K57" s="1154" t="n"/>
      <c r="L57" s="1155" t="n"/>
      <c r="M57" s="218" t="n"/>
      <c r="N57" s="1138" t="n"/>
      <c r="O57" s="1138" t="n"/>
      <c r="P57" s="1138" t="n"/>
    </row>
    <row r="58" ht="18" customFormat="1" customHeight="1" s="126">
      <c r="A58" s="129" t="n"/>
      <c r="B58" s="785" t="n"/>
      <c r="C58" s="135" t="inlineStr">
        <is>
          <t>QTC-45W_BK</t>
        </is>
      </c>
      <c r="D58" s="1173" t="n"/>
      <c r="E58" s="1150" t="n"/>
      <c r="F58" s="1151" t="n"/>
      <c r="G58" s="1152" t="n"/>
      <c r="H58" s="1152" t="n"/>
      <c r="I58" s="1153" t="n"/>
      <c r="J58" s="1154" t="n"/>
      <c r="K58" s="1154" t="n"/>
      <c r="L58" s="1155" t="n"/>
      <c r="M58" s="218" t="n"/>
      <c r="N58" s="1138" t="n"/>
      <c r="O58" s="1138" t="n"/>
      <c r="P58" s="1138" t="n"/>
    </row>
    <row r="59" ht="18" customFormat="1" customHeight="1" s="126" thickBot="1">
      <c r="A59" s="129" t="n"/>
      <c r="B59" s="785" t="n"/>
      <c r="C59" s="135" t="inlineStr">
        <is>
          <t>QTC-45W_WH</t>
        </is>
      </c>
      <c r="D59" s="1173" t="n"/>
      <c r="E59" s="1150" t="n"/>
      <c r="F59" s="1151" t="n"/>
      <c r="G59" s="1152" t="n"/>
      <c r="H59" s="1152" t="n"/>
      <c r="I59" s="1153" t="n"/>
      <c r="J59" s="1154" t="n"/>
      <c r="K59" s="1154" t="n"/>
      <c r="L59" s="1155" t="n"/>
      <c r="M59" s="218" t="n"/>
      <c r="N59" s="1138" t="n"/>
      <c r="O59" s="1138" t="n"/>
      <c r="P59" s="1138" t="n"/>
    </row>
    <row r="60" ht="18" customFormat="1" customHeight="1" s="126">
      <c r="A60" s="129" t="n"/>
      <c r="B60" s="673" t="inlineStr">
        <is>
          <t>케이블</t>
        </is>
      </c>
      <c r="C60" s="509" t="inlineStr">
        <is>
          <t>RQM-CC150-CK-BL</t>
        </is>
      </c>
      <c r="D60" s="1174" t="n"/>
      <c r="E60" s="1175" t="n"/>
      <c r="F60" s="1176" t="n"/>
      <c r="G60" s="1177" t="n"/>
      <c r="H60" s="1177" t="n"/>
      <c r="I60" s="1178" t="n"/>
      <c r="J60" s="1114" t="n"/>
      <c r="K60" s="1114" t="n"/>
      <c r="L60" s="1147" t="n"/>
      <c r="M60" s="304" t="n"/>
      <c r="N60" s="1145" t="n"/>
      <c r="O60" s="1145" t="n"/>
      <c r="P60" s="1145" t="n"/>
    </row>
    <row r="61" ht="18" customFormat="1" customHeight="1" s="126">
      <c r="A61" s="129" t="n"/>
      <c r="B61" s="785" t="n"/>
      <c r="C61" s="90" t="inlineStr">
        <is>
          <t>RQM-CC150-CK-PK</t>
        </is>
      </c>
      <c r="D61" s="1127" t="n"/>
      <c r="E61" s="1128" t="n"/>
      <c r="F61" s="1129" t="n"/>
      <c r="G61" s="1130" t="n"/>
      <c r="H61" s="1130" t="n"/>
      <c r="I61" s="1131" t="n"/>
      <c r="J61" s="1126" t="n"/>
      <c r="K61" s="1126" t="n"/>
      <c r="L61" s="1132" t="n"/>
      <c r="M61" s="305" t="n"/>
      <c r="N61" s="1124" t="n"/>
      <c r="O61" s="1124" t="n"/>
      <c r="P61" s="1124" t="n"/>
    </row>
    <row r="62" ht="18" customFormat="1" customHeight="1" s="126">
      <c r="A62" s="129" t="n"/>
      <c r="B62" s="785" t="n"/>
      <c r="C62" s="90" t="inlineStr">
        <is>
          <t>RQM-MFICA150-CS</t>
        </is>
      </c>
      <c r="D62" s="1127" t="n"/>
      <c r="E62" s="1128" t="n"/>
      <c r="F62" s="1129" t="n"/>
      <c r="G62" s="1130" t="n"/>
      <c r="H62" s="1130" t="n"/>
      <c r="I62" s="1131" t="n"/>
      <c r="J62" s="1126" t="n"/>
      <c r="K62" s="1126" t="n"/>
      <c r="L62" s="1132" t="n"/>
      <c r="M62" s="305" t="n"/>
      <c r="N62" s="1124" t="n"/>
      <c r="O62" s="1124" t="n"/>
      <c r="P62" s="1124" t="n"/>
    </row>
    <row r="63" ht="18" customFormat="1" customHeight="1" s="126">
      <c r="A63" s="129" t="n"/>
      <c r="B63" s="785" t="n"/>
      <c r="C63" s="90" t="inlineStr">
        <is>
          <t>QCB-CC30S_Butter</t>
        </is>
      </c>
      <c r="D63" s="1127" t="n"/>
      <c r="E63" s="1128" t="n"/>
      <c r="F63" s="1129" t="n"/>
      <c r="G63" s="1130" t="n"/>
      <c r="H63" s="1130" t="n"/>
      <c r="I63" s="1131" t="n"/>
      <c r="J63" s="1126" t="n"/>
      <c r="K63" s="1126" t="n"/>
      <c r="L63" s="1132" t="n"/>
      <c r="M63" s="131" t="n"/>
      <c r="N63" s="1124" t="n"/>
      <c r="O63" s="1124" t="n"/>
      <c r="P63" s="1124" t="n"/>
    </row>
    <row r="64" ht="18" customFormat="1" customHeight="1" s="126">
      <c r="A64" s="129" t="n"/>
      <c r="B64" s="785" t="n"/>
      <c r="C64" s="90" t="inlineStr">
        <is>
          <t>QCB-CC30S_Carrot</t>
        </is>
      </c>
      <c r="D64" s="1127" t="n"/>
      <c r="E64" s="1128" t="n"/>
      <c r="F64" s="1129" t="n"/>
      <c r="G64" s="1130" t="n"/>
      <c r="H64" s="1130" t="n"/>
      <c r="I64" s="1131" t="n"/>
      <c r="J64" s="1126" t="n"/>
      <c r="K64" s="1126" t="n"/>
      <c r="L64" s="1132" t="n"/>
      <c r="M64" s="131" t="n"/>
      <c r="N64" s="1124" t="n"/>
      <c r="O64" s="1124" t="n"/>
      <c r="P64" s="1124" t="n"/>
    </row>
    <row r="65" ht="18" customFormat="1" customHeight="1" s="126">
      <c r="A65" s="129" t="n"/>
      <c r="B65" s="785" t="n"/>
      <c r="C65" s="90" t="inlineStr">
        <is>
          <t>QCB-CC30S_CobaltBlue</t>
        </is>
      </c>
      <c r="D65" s="1127" t="n"/>
      <c r="E65" s="1128" t="n"/>
      <c r="F65" s="1129" t="n"/>
      <c r="G65" s="1130" t="n"/>
      <c r="H65" s="1130" t="n"/>
      <c r="I65" s="1131" t="n"/>
      <c r="J65" s="1126" t="n"/>
      <c r="K65" s="1126" t="n"/>
      <c r="L65" s="1132" t="n"/>
      <c r="M65" s="131" t="n"/>
      <c r="N65" s="1124" t="n"/>
      <c r="O65" s="1124" t="n"/>
      <c r="P65" s="1124" t="n"/>
    </row>
    <row r="66" ht="18" customFormat="1" customHeight="1" s="126">
      <c r="A66" s="129" t="n"/>
      <c r="B66" s="785" t="n"/>
      <c r="C66" s="90" t="inlineStr">
        <is>
          <t>QCB-CC30S_NeonGreen</t>
        </is>
      </c>
      <c r="D66" s="1127" t="n"/>
      <c r="E66" s="1128" t="n"/>
      <c r="F66" s="1129" t="n"/>
      <c r="G66" s="1130" t="n"/>
      <c r="H66" s="1130" t="n"/>
      <c r="I66" s="1131" t="n"/>
      <c r="J66" s="1126" t="n"/>
      <c r="K66" s="1126" t="n"/>
      <c r="L66" s="1132" t="n"/>
      <c r="M66" s="131" t="n"/>
      <c r="N66" s="1124" t="n"/>
      <c r="O66" s="1124" t="n"/>
      <c r="P66" s="1124" t="n"/>
    </row>
    <row r="67" ht="18" customFormat="1" customHeight="1" s="126">
      <c r="A67" s="129" t="n"/>
      <c r="B67" s="785" t="n"/>
      <c r="C67" s="90" t="inlineStr">
        <is>
          <t>QCB-CC30S_Lavender</t>
        </is>
      </c>
      <c r="D67" s="1127" t="n"/>
      <c r="E67" s="1128" t="n"/>
      <c r="F67" s="1129" t="n"/>
      <c r="G67" s="1130" t="n"/>
      <c r="H67" s="1130" t="n"/>
      <c r="I67" s="1131" t="n"/>
      <c r="J67" s="1126" t="n"/>
      <c r="K67" s="1126" t="n"/>
      <c r="L67" s="1132" t="n"/>
      <c r="M67" s="131" t="n"/>
      <c r="N67" s="1124" t="n"/>
      <c r="O67" s="1124" t="n"/>
      <c r="P67" s="1124" t="n"/>
    </row>
    <row r="68" ht="18" customFormat="1" customHeight="1" s="126">
      <c r="A68" s="129" t="n"/>
      <c r="B68" s="785" t="n"/>
      <c r="C68" s="90" t="inlineStr">
        <is>
          <t>QCB-CC60S_Butter</t>
        </is>
      </c>
      <c r="D68" s="1127" t="n"/>
      <c r="E68" s="1128" t="n"/>
      <c r="F68" s="1129" t="n"/>
      <c r="G68" s="1130" t="n"/>
      <c r="H68" s="1130" t="n"/>
      <c r="I68" s="1131" t="n"/>
      <c r="J68" s="1126" t="n"/>
      <c r="K68" s="1126" t="n"/>
      <c r="L68" s="1132" t="n"/>
      <c r="M68" s="131" t="n"/>
      <c r="N68" s="1124" t="n"/>
      <c r="O68" s="1124" t="n"/>
      <c r="P68" s="1124" t="n"/>
    </row>
    <row r="69" ht="18" customFormat="1" customHeight="1" s="126">
      <c r="A69" s="129" t="n"/>
      <c r="B69" s="785" t="n"/>
      <c r="C69" s="90" t="inlineStr">
        <is>
          <t>QCB-CC60S_Carrot</t>
        </is>
      </c>
      <c r="D69" s="1127" t="n"/>
      <c r="E69" s="1128" t="n"/>
      <c r="F69" s="1129" t="n"/>
      <c r="G69" s="1130" t="n"/>
      <c r="H69" s="1130" t="n"/>
      <c r="I69" s="1131" t="n"/>
      <c r="J69" s="1126" t="n"/>
      <c r="K69" s="1126" t="n"/>
      <c r="L69" s="1132" t="n"/>
      <c r="M69" s="131" t="n"/>
      <c r="N69" s="1124" t="n"/>
      <c r="O69" s="1124" t="n"/>
      <c r="P69" s="1124" t="n"/>
    </row>
    <row r="70" ht="18" customFormat="1" customHeight="1" s="126">
      <c r="A70" s="129" t="n"/>
      <c r="B70" s="785" t="n"/>
      <c r="C70" s="90" t="inlineStr">
        <is>
          <t>QCB-CC60S_CobaltBlue</t>
        </is>
      </c>
      <c r="D70" s="1127" t="n"/>
      <c r="E70" s="1128" t="n"/>
      <c r="F70" s="1129" t="n"/>
      <c r="G70" s="1130" t="n"/>
      <c r="H70" s="1130" t="n"/>
      <c r="I70" s="1131" t="n"/>
      <c r="J70" s="1126" t="n"/>
      <c r="K70" s="1126" t="n"/>
      <c r="L70" s="1132" t="n"/>
      <c r="M70" s="131" t="n"/>
      <c r="N70" s="1124" t="n"/>
      <c r="O70" s="1124" t="n"/>
      <c r="P70" s="1124" t="n"/>
    </row>
    <row r="71" ht="18" customFormat="1" customHeight="1" s="126">
      <c r="A71" s="129" t="n"/>
      <c r="B71" s="785" t="n"/>
      <c r="C71" s="90" t="inlineStr">
        <is>
          <t>QCB-CC60S_NeonGreen</t>
        </is>
      </c>
      <c r="D71" s="1127" t="n"/>
      <c r="E71" s="1128" t="n"/>
      <c r="F71" s="1129" t="n"/>
      <c r="G71" s="1130" t="n"/>
      <c r="H71" s="1130" t="n"/>
      <c r="I71" s="1131" t="n"/>
      <c r="J71" s="1126" t="n"/>
      <c r="K71" s="1126" t="n"/>
      <c r="L71" s="1132" t="n"/>
      <c r="M71" s="131" t="n"/>
      <c r="N71" s="1124" t="n"/>
      <c r="O71" s="1124" t="n"/>
      <c r="P71" s="1124" t="n"/>
    </row>
    <row r="72" ht="18" customFormat="1" customHeight="1" s="126" thickBot="1">
      <c r="A72" s="129" t="n"/>
      <c r="B72" s="785" t="n"/>
      <c r="C72" s="103" t="inlineStr">
        <is>
          <t>QCB-CC60S_Lavender</t>
        </is>
      </c>
      <c r="D72" s="1179" t="n"/>
      <c r="E72" s="1180" t="n"/>
      <c r="F72" s="1181" t="n"/>
      <c r="G72" s="1182" t="n"/>
      <c r="H72" s="1182" t="n"/>
      <c r="I72" s="1183" t="n"/>
      <c r="J72" s="1184" t="n"/>
      <c r="K72" s="1184" t="n"/>
      <c r="L72" s="1185" t="n"/>
      <c r="M72" s="128" t="n"/>
      <c r="N72" s="1186" t="n"/>
      <c r="O72" s="1186" t="n"/>
      <c r="P72" s="1186" t="n"/>
    </row>
    <row r="73" ht="18" customFormat="1" customHeight="1" s="126" thickBot="1">
      <c r="A73" s="129" t="n"/>
      <c r="B73" s="466" t="inlineStr">
        <is>
          <t>살균기</t>
        </is>
      </c>
      <c r="C73" s="510" t="inlineStr">
        <is>
          <t>QWC-UV300-BK</t>
        </is>
      </c>
      <c r="D73" s="1187" t="n"/>
      <c r="E73" s="1188" t="n"/>
      <c r="F73" s="1189" t="n"/>
      <c r="G73" s="1190" t="n"/>
      <c r="H73" s="1190" t="n"/>
      <c r="I73" s="1191" t="n"/>
      <c r="J73" s="1192" t="n"/>
      <c r="K73" s="1192" t="n"/>
      <c r="L73" s="1193" t="n"/>
      <c r="M73" s="473" t="n"/>
      <c r="N73" s="1192" t="n"/>
      <c r="O73" s="1192" t="n"/>
      <c r="P73" s="1192" t="n"/>
    </row>
    <row r="74" ht="18" customFormat="1" customHeight="1" s="126">
      <c r="A74" s="129" t="n"/>
      <c r="B74" s="1105" t="inlineStr">
        <is>
          <t>랜턴</t>
        </is>
      </c>
      <c r="C74" s="511" t="inlineStr">
        <is>
          <t>VAUX-QCL100-레드</t>
        </is>
      </c>
      <c r="D74" s="1157" t="n"/>
      <c r="E74" s="1158" t="n"/>
      <c r="F74" s="1159" t="n"/>
      <c r="G74" s="1160" t="n"/>
      <c r="H74" s="1160" t="n"/>
      <c r="I74" s="1161" t="n"/>
      <c r="J74" s="1162" t="n"/>
      <c r="K74" s="1162" t="n"/>
      <c r="L74" s="1163" t="n"/>
      <c r="M74" s="483" t="n"/>
      <c r="N74" s="1162" t="n"/>
      <c r="O74" s="1162" t="n"/>
      <c r="P74" s="1162" t="n"/>
    </row>
    <row r="75" ht="18" customFormat="1" customHeight="1" s="126">
      <c r="A75" s="129" t="n"/>
      <c r="B75" s="785" t="n"/>
      <c r="C75" s="90" t="inlineStr">
        <is>
          <t>VAUX-QCL100-블랙</t>
        </is>
      </c>
      <c r="D75" s="1127" t="n"/>
      <c r="E75" s="1128" t="n"/>
      <c r="F75" s="1129" t="n"/>
      <c r="G75" s="1130" t="n"/>
      <c r="H75" s="1130" t="n"/>
      <c r="I75" s="1131" t="n"/>
      <c r="J75" s="1126" t="n"/>
      <c r="K75" s="1126" t="n"/>
      <c r="L75" s="1132" t="n"/>
      <c r="M75" s="149" t="n"/>
      <c r="N75" s="1126" t="n"/>
      <c r="O75" s="1126" t="n"/>
      <c r="P75" s="1126" t="n"/>
    </row>
    <row r="76" ht="18" customFormat="1" customHeight="1" s="126">
      <c r="A76" s="129" t="n"/>
      <c r="B76" s="785" t="n"/>
      <c r="C76" s="90" t="inlineStr">
        <is>
          <t>VAUX-QCL100-블루</t>
        </is>
      </c>
      <c r="D76" s="1127" t="n"/>
      <c r="E76" s="1128" t="n"/>
      <c r="F76" s="1129" t="n"/>
      <c r="G76" s="1130" t="n"/>
      <c r="H76" s="1130" t="n"/>
      <c r="I76" s="1131" t="n"/>
      <c r="J76" s="1126" t="n"/>
      <c r="K76" s="1126" t="n"/>
      <c r="L76" s="1132" t="n"/>
      <c r="M76" s="149" t="n"/>
      <c r="N76" s="1126" t="n"/>
      <c r="O76" s="1126" t="n"/>
      <c r="P76" s="1126" t="n"/>
    </row>
    <row r="77" ht="18" customFormat="1" customHeight="1" s="126">
      <c r="A77" s="129" t="n"/>
      <c r="B77" s="785" t="n"/>
      <c r="C77" s="90" t="inlineStr">
        <is>
          <t>VAUX-QCL100-샌드</t>
        </is>
      </c>
      <c r="D77" s="1127" t="n"/>
      <c r="E77" s="1128" t="n"/>
      <c r="F77" s="1129" t="n"/>
      <c r="G77" s="1130" t="n"/>
      <c r="H77" s="1130" t="n"/>
      <c r="I77" s="1131" t="n"/>
      <c r="J77" s="1126" t="n"/>
      <c r="K77" s="1126" t="n"/>
      <c r="L77" s="1132" t="n"/>
      <c r="M77" s="149" t="n"/>
      <c r="N77" s="1126" t="n"/>
      <c r="O77" s="1126" t="n"/>
      <c r="P77" s="1126" t="n"/>
    </row>
    <row r="78" ht="18" customFormat="1" customHeight="1" s="126" thickBot="1">
      <c r="A78" s="129" t="n"/>
      <c r="B78" s="757" t="n"/>
      <c r="C78" s="487" t="inlineStr">
        <is>
          <t>VAUX-QCL100-화이트</t>
        </is>
      </c>
      <c r="D78" s="1194" t="n"/>
      <c r="E78" s="1195" t="n"/>
      <c r="F78" s="1196" t="n"/>
      <c r="G78" s="1197" t="n"/>
      <c r="H78" s="1197" t="n"/>
      <c r="I78" s="1198" t="n"/>
      <c r="J78" s="1199" t="n"/>
      <c r="K78" s="1199" t="n"/>
      <c r="L78" s="1200" t="n"/>
      <c r="M78" s="465" t="n"/>
      <c r="N78" s="1199" t="n"/>
      <c r="O78" s="1199" t="n"/>
      <c r="P78" s="1199" t="n"/>
    </row>
    <row r="79" ht="18" customFormat="1" customHeight="1" s="126">
      <c r="A79" s="129" t="n"/>
      <c r="B79" s="1105" t="inlineStr">
        <is>
          <t>ACC</t>
        </is>
      </c>
      <c r="C79" s="509" t="inlineStr">
        <is>
          <t>ACONE-Sliconpad_SA</t>
        </is>
      </c>
      <c r="D79" s="1174" t="n"/>
      <c r="E79" s="1175" t="n"/>
      <c r="F79" s="1176" t="n"/>
      <c r="G79" s="1177" t="n"/>
      <c r="H79" s="1177" t="n"/>
      <c r="I79" s="1178" t="n"/>
      <c r="J79" s="1114" t="n"/>
      <c r="K79" s="1114" t="n"/>
      <c r="L79" s="1147" t="n"/>
      <c r="M79" s="497" t="n"/>
      <c r="N79" s="1114" t="n"/>
      <c r="O79" s="1114" t="n"/>
      <c r="P79" s="1114" t="n"/>
    </row>
    <row r="80" ht="18" customFormat="1" customHeight="1" s="126">
      <c r="A80" s="129" t="n"/>
      <c r="B80" s="785" t="n"/>
      <c r="C80" s="488" t="inlineStr">
        <is>
          <t>ACONE-Sliconpad_BK</t>
        </is>
      </c>
      <c r="D80" s="1113" t="n"/>
      <c r="E80" s="1201" t="n"/>
      <c r="F80" s="1202" t="n"/>
      <c r="G80" s="1203" t="n"/>
      <c r="H80" s="1203" t="n"/>
      <c r="I80" s="1204" t="n"/>
      <c r="J80" s="1205" t="n"/>
      <c r="K80" s="1205" t="n"/>
      <c r="L80" s="1117" t="n"/>
      <c r="M80" s="156" t="n"/>
      <c r="N80" s="1205" t="n"/>
      <c r="O80" s="1205" t="n"/>
      <c r="P80" s="1205" t="n"/>
    </row>
    <row r="81" ht="18" customFormat="1" customHeight="1" s="126">
      <c r="A81" s="129" t="n"/>
      <c r="B81" s="785" t="n"/>
      <c r="C81" s="488" t="inlineStr">
        <is>
          <t>ACONE-Sliconpad_RD</t>
        </is>
      </c>
      <c r="D81" s="1113" t="n"/>
      <c r="E81" s="1201" t="n"/>
      <c r="F81" s="1202" t="n"/>
      <c r="G81" s="1203" t="n"/>
      <c r="H81" s="1203" t="n"/>
      <c r="I81" s="1204" t="n"/>
      <c r="J81" s="1205" t="n"/>
      <c r="K81" s="1205" t="n"/>
      <c r="L81" s="1117" t="n"/>
      <c r="M81" s="156" t="n"/>
      <c r="N81" s="1205" t="n"/>
      <c r="O81" s="1205" t="n"/>
      <c r="P81" s="1205" t="n"/>
    </row>
    <row r="82" ht="18" customFormat="1" customHeight="1" s="126">
      <c r="A82" s="129" t="n"/>
      <c r="B82" s="785" t="n"/>
      <c r="C82" s="488" t="inlineStr">
        <is>
          <t>ACONE-Sliconpad_MU</t>
        </is>
      </c>
      <c r="D82" s="1113" t="n"/>
      <c r="E82" s="1201" t="n"/>
      <c r="F82" s="1202" t="n"/>
      <c r="G82" s="1203" t="n"/>
      <c r="H82" s="1203" t="n"/>
      <c r="I82" s="1204" t="n"/>
      <c r="J82" s="1205" t="n"/>
      <c r="K82" s="1205" t="n"/>
      <c r="L82" s="1117" t="n"/>
      <c r="M82" s="156" t="n"/>
      <c r="N82" s="1205" t="n"/>
      <c r="O82" s="1205" t="n"/>
      <c r="P82" s="1205" t="n"/>
    </row>
    <row r="83" ht="18" customFormat="1" customHeight="1" s="126">
      <c r="A83" s="129" t="n"/>
      <c r="B83" s="785" t="n"/>
      <c r="C83" s="488" t="inlineStr">
        <is>
          <t>ACONE-Sliconpad_CO</t>
        </is>
      </c>
      <c r="D83" s="1113" t="n"/>
      <c r="E83" s="1201" t="n"/>
      <c r="F83" s="1202" t="n"/>
      <c r="G83" s="1203" t="n"/>
      <c r="H83" s="1203" t="n"/>
      <c r="I83" s="1204" t="n"/>
      <c r="J83" s="1205" t="n"/>
      <c r="K83" s="1205" t="n"/>
      <c r="L83" s="1117" t="n"/>
      <c r="M83" s="156" t="n"/>
      <c r="N83" s="1205" t="n"/>
      <c r="O83" s="1205" t="n"/>
      <c r="P83" s="1205" t="n"/>
    </row>
    <row r="84" ht="18" customFormat="1" customHeight="1" s="126">
      <c r="A84" s="129" t="n"/>
      <c r="B84" s="785" t="n"/>
      <c r="C84" s="488" t="inlineStr">
        <is>
          <t>ACONE-Sliconpad_CL</t>
        </is>
      </c>
      <c r="D84" s="1113" t="n"/>
      <c r="E84" s="1201" t="n"/>
      <c r="F84" s="1202" t="n"/>
      <c r="G84" s="1203" t="n"/>
      <c r="H84" s="1203" t="n"/>
      <c r="I84" s="1204" t="n"/>
      <c r="J84" s="1205" t="n"/>
      <c r="K84" s="1205" t="n"/>
      <c r="L84" s="1117" t="n"/>
      <c r="M84" s="156" t="n"/>
      <c r="N84" s="1205" t="n"/>
      <c r="O84" s="1205" t="n"/>
      <c r="P84" s="1205" t="n"/>
    </row>
    <row r="85" ht="18" customFormat="1" customHeight="1" s="126">
      <c r="A85" s="129" t="n"/>
      <c r="B85" s="785" t="n"/>
      <c r="C85" s="488" t="inlineStr">
        <is>
          <t>QA-Luggagescale_BK</t>
        </is>
      </c>
      <c r="D85" s="1113" t="n"/>
      <c r="E85" s="1201" t="n"/>
      <c r="F85" s="1202" t="n"/>
      <c r="G85" s="1203" t="n"/>
      <c r="H85" s="1203" t="n"/>
      <c r="I85" s="1204" t="n"/>
      <c r="J85" s="1205" t="n"/>
      <c r="K85" s="1205" t="n"/>
      <c r="L85" s="1117" t="n"/>
      <c r="M85" s="495" t="n"/>
      <c r="N85" s="1206" t="n"/>
      <c r="O85" s="1206" t="n"/>
      <c r="P85" s="1206" t="n"/>
    </row>
    <row r="86" ht="18" customFormat="1" customHeight="1" s="126">
      <c r="A86" s="129" t="n"/>
      <c r="B86" s="785" t="n"/>
      <c r="C86" s="90" t="inlineStr">
        <is>
          <t>QA-Luggagescale_WH</t>
        </is>
      </c>
      <c r="D86" s="1127" t="n"/>
      <c r="E86" s="1128" t="n"/>
      <c r="F86" s="1129" t="n"/>
      <c r="G86" s="1130" t="n"/>
      <c r="H86" s="1130" t="n"/>
      <c r="I86" s="1131" t="n"/>
      <c r="J86" s="1126" t="n"/>
      <c r="K86" s="1126" t="n"/>
      <c r="L86" s="1132" t="n"/>
      <c r="M86" s="131" t="n"/>
      <c r="N86" s="1124" t="n"/>
      <c r="O86" s="1124" t="n"/>
      <c r="P86" s="1124" t="n"/>
    </row>
    <row r="87" ht="18" customFormat="1" customHeight="1" s="126">
      <c r="A87" s="129" t="n"/>
      <c r="B87" s="785" t="n"/>
      <c r="C87" s="135" t="inlineStr">
        <is>
          <t>QA-Custumpouch_BK</t>
        </is>
      </c>
      <c r="D87" s="1113" t="n"/>
      <c r="E87" s="1128" t="n"/>
      <c r="F87" s="1129" t="n"/>
      <c r="G87" s="1130" t="n"/>
      <c r="H87" s="1130" t="n"/>
      <c r="I87" s="1131" t="n"/>
      <c r="J87" s="1126" t="n"/>
      <c r="K87" s="1126" t="n"/>
      <c r="L87" s="1132" t="n"/>
      <c r="M87" s="231" t="n"/>
      <c r="N87" s="1124" t="n"/>
      <c r="O87" s="1124" t="n"/>
      <c r="P87" s="1124" t="n"/>
    </row>
    <row r="88" ht="18" customFormat="1" customHeight="1" s="126">
      <c r="A88" s="129" t="n"/>
      <c r="B88" s="785" t="n"/>
      <c r="C88" s="135" t="inlineStr">
        <is>
          <t>QA-Custumpouch_BL</t>
        </is>
      </c>
      <c r="D88" s="1172" t="n"/>
      <c r="E88" s="1128" t="n"/>
      <c r="F88" s="1129" t="n"/>
      <c r="G88" s="1130" t="n"/>
      <c r="H88" s="1130" t="n"/>
      <c r="I88" s="1131" t="n"/>
      <c r="J88" s="1126" t="n"/>
      <c r="K88" s="1126" t="n"/>
      <c r="L88" s="1132" t="n"/>
      <c r="M88" s="231" t="n"/>
      <c r="N88" s="1124" t="n"/>
      <c r="O88" s="1124" t="n"/>
      <c r="P88" s="1124" t="n"/>
    </row>
    <row r="89" ht="18" customFormat="1" customHeight="1" s="126">
      <c r="A89" s="129" t="n"/>
      <c r="B89" s="785" t="n"/>
      <c r="C89" s="135" t="inlineStr">
        <is>
          <t>QA-Custumpouch_GR</t>
        </is>
      </c>
      <c r="D89" s="1172" t="n"/>
      <c r="E89" s="1128" t="n"/>
      <c r="F89" s="1129" t="n"/>
      <c r="G89" s="1130" t="n"/>
      <c r="H89" s="1130" t="n"/>
      <c r="I89" s="1131" t="n"/>
      <c r="J89" s="1126" t="n"/>
      <c r="K89" s="1126" t="n"/>
      <c r="L89" s="1132" t="n"/>
      <c r="M89" s="231" t="n"/>
      <c r="N89" s="1124" t="n"/>
      <c r="O89" s="1124" t="n"/>
      <c r="P89" s="1124" t="n"/>
    </row>
    <row r="90" ht="18" customFormat="1" customHeight="1" s="126">
      <c r="A90" s="129" t="n"/>
      <c r="B90" s="785" t="n"/>
      <c r="C90" s="135" t="inlineStr">
        <is>
          <t>QA-Custumpouch_BE</t>
        </is>
      </c>
      <c r="D90" s="1172" t="n"/>
      <c r="E90" s="1128" t="n"/>
      <c r="F90" s="1129" t="n"/>
      <c r="G90" s="1130" t="n"/>
      <c r="H90" s="1130" t="n"/>
      <c r="I90" s="1131" t="n"/>
      <c r="J90" s="1126" t="n"/>
      <c r="K90" s="1126" t="n"/>
      <c r="L90" s="1132" t="n"/>
      <c r="M90" s="231" t="n"/>
      <c r="N90" s="1124" t="n"/>
      <c r="O90" s="1124" t="n"/>
      <c r="P90" s="1124" t="n"/>
    </row>
    <row r="91" ht="18" customFormat="1" customHeight="1" s="126">
      <c r="A91" s="129" t="n"/>
      <c r="B91" s="785" t="n"/>
      <c r="C91" s="135" t="inlineStr">
        <is>
          <t>QA-Custumpouch_YL</t>
        </is>
      </c>
      <c r="D91" s="1173" t="n"/>
      <c r="E91" s="1195" t="n"/>
      <c r="F91" s="1196" t="n"/>
      <c r="G91" s="1197" t="n"/>
      <c r="H91" s="1197" t="n"/>
      <c r="I91" s="1198" t="n"/>
      <c r="J91" s="1199" t="n"/>
      <c r="K91" s="1199" t="n"/>
      <c r="L91" s="1200" t="n"/>
      <c r="M91" s="278" t="n"/>
      <c r="N91" s="1207" t="n"/>
      <c r="O91" s="1207" t="n"/>
      <c r="P91" s="1207" t="n"/>
    </row>
    <row r="92" hidden="1" ht="18" customFormat="1" customHeight="1" s="126">
      <c r="A92" s="129" t="n"/>
      <c r="B92" s="785" t="n"/>
      <c r="C92" s="135" t="inlineStr">
        <is>
          <t>QA-Minihardpouch_BK</t>
        </is>
      </c>
      <c r="D92" s="1173" t="n"/>
      <c r="E92" s="1128" t="n"/>
      <c r="F92" s="1129" t="n"/>
      <c r="G92" s="1130" t="n"/>
      <c r="H92" s="1130" t="n"/>
      <c r="I92" s="1131" t="n"/>
      <c r="J92" s="1126" t="n"/>
      <c r="K92" s="1126" t="n"/>
      <c r="L92" s="1132" t="n"/>
      <c r="M92" s="231" t="n"/>
      <c r="N92" s="1124" t="n"/>
      <c r="O92" s="1124" t="n"/>
      <c r="P92" s="1124" t="n"/>
    </row>
    <row r="93" hidden="1" ht="18" customFormat="1" customHeight="1" s="126">
      <c r="A93" s="129" t="n"/>
      <c r="B93" s="785" t="n"/>
      <c r="C93" s="135" t="inlineStr">
        <is>
          <t>QA-Minihardpouch_BE</t>
        </is>
      </c>
      <c r="D93" s="1173" t="n"/>
      <c r="E93" s="1128" t="n"/>
      <c r="F93" s="1129" t="n"/>
      <c r="G93" s="1130" t="n"/>
      <c r="H93" s="1130" t="n"/>
      <c r="I93" s="1131" t="n"/>
      <c r="J93" s="1126" t="n"/>
      <c r="K93" s="1126" t="n"/>
      <c r="L93" s="1132" t="n"/>
      <c r="M93" s="231" t="n"/>
      <c r="N93" s="1124" t="n"/>
      <c r="O93" s="1124" t="n"/>
      <c r="P93" s="1124" t="n"/>
    </row>
    <row r="94" hidden="1" ht="18" customFormat="1" customHeight="1" s="126">
      <c r="A94" s="129" t="n"/>
      <c r="B94" s="785" t="n"/>
      <c r="C94" s="135" t="inlineStr">
        <is>
          <t>QA-Minihardpouch_BL</t>
        </is>
      </c>
      <c r="D94" s="1173" t="n"/>
      <c r="E94" s="1128" t="n"/>
      <c r="F94" s="1129" t="n"/>
      <c r="G94" s="1130" t="n"/>
      <c r="H94" s="1130" t="n"/>
      <c r="I94" s="1131" t="n"/>
      <c r="J94" s="1126" t="n"/>
      <c r="K94" s="1126" t="n"/>
      <c r="L94" s="1132" t="n"/>
      <c r="M94" s="231" t="n"/>
      <c r="N94" s="1124" t="n"/>
      <c r="O94" s="1124" t="n"/>
      <c r="P94" s="1124" t="n"/>
    </row>
    <row r="95" hidden="1" ht="18" customFormat="1" customHeight="1" s="126">
      <c r="A95" s="129" t="n"/>
      <c r="B95" s="785" t="n"/>
      <c r="C95" s="135" t="inlineStr">
        <is>
          <t>QA-Minihardpouch_GR</t>
        </is>
      </c>
      <c r="D95" s="1173" t="n"/>
      <c r="E95" s="1128" t="n"/>
      <c r="F95" s="1129" t="n"/>
      <c r="G95" s="1130" t="n"/>
      <c r="H95" s="1130" t="n"/>
      <c r="I95" s="1131" t="n"/>
      <c r="J95" s="1126" t="n"/>
      <c r="K95" s="1126" t="n"/>
      <c r="L95" s="1132" t="n"/>
      <c r="M95" s="231" t="n"/>
      <c r="N95" s="1124" t="n"/>
      <c r="O95" s="1124" t="n"/>
      <c r="P95" s="1124" t="n"/>
    </row>
    <row r="96" hidden="1" ht="18" customFormat="1" customHeight="1" s="126">
      <c r="A96" s="129" t="n"/>
      <c r="B96" s="785" t="n"/>
      <c r="C96" s="135" t="inlineStr">
        <is>
          <t>QA-Minihardpouch_YL</t>
        </is>
      </c>
      <c r="D96" s="1173" t="n"/>
      <c r="E96" s="1195" t="n"/>
      <c r="F96" s="1196" t="n"/>
      <c r="G96" s="1197" t="n"/>
      <c r="H96" s="1197" t="n"/>
      <c r="I96" s="1198" t="n"/>
      <c r="J96" s="1199" t="n"/>
      <c r="K96" s="1199" t="n"/>
      <c r="L96" s="1200" t="n"/>
      <c r="M96" s="278" t="n"/>
      <c r="N96" s="1207" t="n"/>
      <c r="O96" s="1207" t="n"/>
      <c r="P96" s="1207" t="n"/>
    </row>
    <row r="97" ht="18" customFormat="1" customHeight="1" s="126">
      <c r="A97" s="129" t="n"/>
      <c r="B97" s="785" t="n"/>
      <c r="C97" s="135" t="inlineStr">
        <is>
          <t>QA-KeyRing_R</t>
        </is>
      </c>
      <c r="D97" s="1128" t="n"/>
      <c r="E97" s="1128" t="n"/>
      <c r="F97" s="1129" t="n"/>
      <c r="G97" s="1130" t="n"/>
      <c r="H97" s="1130" t="n"/>
      <c r="I97" s="1131" t="n"/>
      <c r="J97" s="1126" t="n"/>
      <c r="K97" s="1126" t="n"/>
      <c r="L97" s="1132" t="n"/>
      <c r="M97" s="231" t="n"/>
      <c r="N97" s="1124" t="n"/>
      <c r="O97" s="1124" t="n"/>
      <c r="P97" s="1124" t="n"/>
    </row>
    <row r="98" ht="18" customFormat="1" customHeight="1" s="126">
      <c r="A98" s="129" t="n"/>
      <c r="B98" s="785" t="n"/>
      <c r="C98" s="135" t="inlineStr">
        <is>
          <t>QA-KeyRing_E</t>
        </is>
      </c>
      <c r="D98" s="1128" t="n"/>
      <c r="E98" s="1128" t="n"/>
      <c r="F98" s="1129" t="n"/>
      <c r="G98" s="1130" t="n"/>
      <c r="H98" s="1130" t="n"/>
      <c r="I98" s="1131" t="n"/>
      <c r="J98" s="1126" t="n"/>
      <c r="K98" s="1126" t="n"/>
      <c r="L98" s="1132" t="n"/>
      <c r="M98" s="231" t="n"/>
      <c r="N98" s="1124" t="n"/>
      <c r="O98" s="1124" t="n"/>
      <c r="P98" s="1124" t="n"/>
    </row>
    <row r="99" ht="18" customFormat="1" customHeight="1" s="126">
      <c r="A99" s="129" t="n"/>
      <c r="B99" s="785" t="n"/>
      <c r="C99" s="135" t="inlineStr">
        <is>
          <t>QA-KeyRing_Q</t>
        </is>
      </c>
      <c r="D99" s="1128" t="n"/>
      <c r="E99" s="1128" t="n"/>
      <c r="F99" s="1129" t="n"/>
      <c r="G99" s="1130" t="n"/>
      <c r="H99" s="1130" t="n"/>
      <c r="I99" s="1131" t="n"/>
      <c r="J99" s="1126" t="n"/>
      <c r="K99" s="1126" t="n"/>
      <c r="L99" s="1132" t="n"/>
      <c r="M99" s="231" t="n"/>
      <c r="N99" s="1124" t="n"/>
      <c r="O99" s="1124" t="n"/>
      <c r="P99" s="1124" t="n"/>
    </row>
    <row r="100" ht="18" customFormat="1" customHeight="1" s="126">
      <c r="A100" s="129" t="n"/>
      <c r="B100" s="785" t="n"/>
      <c r="C100" s="135" t="inlineStr">
        <is>
          <t>QA-KeyRing_M</t>
        </is>
      </c>
      <c r="D100" s="1128" t="n"/>
      <c r="E100" s="1128" t="n"/>
      <c r="F100" s="1129" t="n"/>
      <c r="G100" s="1130" t="n"/>
      <c r="H100" s="1130" t="n"/>
      <c r="I100" s="1131" t="n"/>
      <c r="J100" s="1126" t="n"/>
      <c r="K100" s="1126" t="n"/>
      <c r="L100" s="1132" t="n"/>
      <c r="M100" s="231" t="n"/>
      <c r="N100" s="1124" t="n"/>
      <c r="O100" s="1124" t="n"/>
      <c r="P100" s="1124" t="n"/>
    </row>
    <row r="101" ht="18" customFormat="1" customHeight="1" s="126">
      <c r="A101" s="129" t="n"/>
      <c r="B101" s="785" t="n"/>
      <c r="C101" s="135" t="inlineStr">
        <is>
          <t>QA-Jibbitz_GOOUT</t>
        </is>
      </c>
      <c r="D101" s="1128" t="n"/>
      <c r="E101" s="1128" t="n"/>
      <c r="F101" s="1129" t="n"/>
      <c r="G101" s="1130" t="n"/>
      <c r="H101" s="1130" t="n"/>
      <c r="I101" s="1131" t="n"/>
      <c r="J101" s="1126" t="n"/>
      <c r="K101" s="1126" t="n"/>
      <c r="L101" s="1132" t="n"/>
      <c r="M101" s="231" t="n"/>
      <c r="N101" s="1124" t="n"/>
      <c r="O101" s="1124" t="n"/>
      <c r="P101" s="1124" t="n"/>
    </row>
    <row r="102" ht="18" customFormat="1" customHeight="1" s="126">
      <c r="A102" s="129" t="n"/>
      <c r="B102" s="785" t="n"/>
      <c r="C102" s="135" t="inlineStr">
        <is>
          <t>QA-Jibbitz_CAMPING</t>
        </is>
      </c>
      <c r="D102" s="1128" t="n"/>
      <c r="E102" s="1128" t="n"/>
      <c r="F102" s="1129" t="n"/>
      <c r="G102" s="1130" t="n"/>
      <c r="H102" s="1130" t="n"/>
      <c r="I102" s="1131" t="n"/>
      <c r="J102" s="1126" t="n"/>
      <c r="K102" s="1126" t="n"/>
      <c r="L102" s="1132" t="n"/>
      <c r="M102" s="231" t="n"/>
      <c r="N102" s="1124" t="n"/>
      <c r="O102" s="1124" t="n"/>
      <c r="P102" s="1124" t="n"/>
    </row>
    <row r="103" ht="18" customFormat="1" customHeight="1" s="126">
      <c r="A103" s="129" t="n"/>
      <c r="B103" s="785" t="n"/>
      <c r="C103" s="135" t="inlineStr">
        <is>
          <t>QA-Jibbitz_TRAVEL</t>
        </is>
      </c>
      <c r="D103" s="1128" t="n"/>
      <c r="E103" s="1128" t="n"/>
      <c r="F103" s="1129" t="n"/>
      <c r="G103" s="1130" t="n"/>
      <c r="H103" s="1130" t="n"/>
      <c r="I103" s="1131" t="n"/>
      <c r="J103" s="1126" t="n"/>
      <c r="K103" s="1126" t="n"/>
      <c r="L103" s="1132" t="n"/>
      <c r="M103" s="231" t="n"/>
      <c r="N103" s="1124" t="n"/>
      <c r="O103" s="1124" t="n"/>
      <c r="P103" s="1124" t="n"/>
    </row>
    <row r="104" ht="18" customFormat="1" customHeight="1" s="126">
      <c r="A104" s="129" t="n"/>
      <c r="B104" s="785" t="n"/>
      <c r="C104" s="135" t="inlineStr">
        <is>
          <t>QA-Jibbitz_SPORTS</t>
        </is>
      </c>
      <c r="D104" s="1128" t="n"/>
      <c r="E104" s="1128" t="n"/>
      <c r="F104" s="1129" t="n"/>
      <c r="G104" s="1130" t="n"/>
      <c r="H104" s="1130" t="n"/>
      <c r="I104" s="1131" t="n"/>
      <c r="J104" s="1126" t="n"/>
      <c r="K104" s="1126" t="n"/>
      <c r="L104" s="1132" t="n"/>
      <c r="M104" s="231" t="n"/>
      <c r="N104" s="1124" t="n"/>
      <c r="O104" s="1124" t="n"/>
      <c r="P104" s="1124" t="n"/>
    </row>
    <row r="105" ht="18" customFormat="1" customHeight="1" s="126">
      <c r="A105" s="129" t="n"/>
      <c r="B105" s="785" t="n"/>
      <c r="C105" s="135" t="inlineStr">
        <is>
          <t>QA-Rug_GOOUT_RD</t>
        </is>
      </c>
      <c r="D105" s="1128" t="n"/>
      <c r="E105" s="1128" t="n"/>
      <c r="F105" s="1129" t="n"/>
      <c r="G105" s="1130" t="n"/>
      <c r="H105" s="1130" t="n"/>
      <c r="I105" s="1131" t="n"/>
      <c r="J105" s="1126" t="n"/>
      <c r="K105" s="1126" t="n"/>
      <c r="L105" s="1132" t="n"/>
      <c r="M105" s="231" t="n"/>
      <c r="N105" s="1124" t="n"/>
      <c r="O105" s="1124" t="n"/>
      <c r="P105" s="1124" t="n"/>
    </row>
    <row r="106" ht="18" customFormat="1" customHeight="1" s="126">
      <c r="A106" s="129" t="n"/>
      <c r="B106" s="785" t="n"/>
      <c r="C106" s="135" t="inlineStr">
        <is>
          <t>QA-Rug_GOOUT_YL</t>
        </is>
      </c>
      <c r="D106" s="1128" t="n"/>
      <c r="E106" s="1128" t="n"/>
      <c r="F106" s="1129" t="n"/>
      <c r="G106" s="1130" t="n"/>
      <c r="H106" s="1130" t="n"/>
      <c r="I106" s="1131" t="n"/>
      <c r="J106" s="1126" t="n"/>
      <c r="K106" s="1126" t="n"/>
      <c r="L106" s="1132" t="n"/>
      <c r="M106" s="231" t="n"/>
      <c r="N106" s="1124" t="n"/>
      <c r="O106" s="1124" t="n"/>
      <c r="P106" s="1124" t="n"/>
    </row>
    <row r="107" ht="18" customFormat="1" customHeight="1" s="126">
      <c r="A107" s="129" t="n"/>
      <c r="B107" s="785" t="n"/>
      <c r="C107" s="135" t="inlineStr">
        <is>
          <t>QA-Rug_GOOUT_GR</t>
        </is>
      </c>
      <c r="D107" s="1128" t="n"/>
      <c r="E107" s="1128" t="n"/>
      <c r="F107" s="1129" t="n"/>
      <c r="G107" s="1130" t="n"/>
      <c r="H107" s="1130" t="n"/>
      <c r="I107" s="1131" t="n"/>
      <c r="J107" s="1126" t="n"/>
      <c r="K107" s="1126" t="n"/>
      <c r="L107" s="1132" t="n"/>
      <c r="M107" s="231" t="n"/>
      <c r="N107" s="1124" t="n"/>
      <c r="O107" s="1124" t="n"/>
      <c r="P107" s="1124" t="n"/>
    </row>
    <row r="108" ht="18" customFormat="1" customHeight="1" s="126">
      <c r="A108" s="129" t="n"/>
      <c r="B108" s="785" t="n"/>
      <c r="C108" s="135" t="inlineStr">
        <is>
          <t>QA-Rug_GOOUT_BL</t>
        </is>
      </c>
      <c r="D108" s="1128" t="n"/>
      <c r="E108" s="1128" t="n"/>
      <c r="F108" s="1129" t="n"/>
      <c r="G108" s="1130" t="n"/>
      <c r="H108" s="1130" t="n"/>
      <c r="I108" s="1131" t="n"/>
      <c r="J108" s="1126" t="n"/>
      <c r="K108" s="1126" t="n"/>
      <c r="L108" s="1132" t="n"/>
      <c r="M108" s="231" t="n"/>
      <c r="N108" s="1124" t="n"/>
      <c r="O108" s="1124" t="n"/>
      <c r="P108" s="1124" t="n"/>
    </row>
    <row r="109" ht="18" customFormat="1" customHeight="1" s="126">
      <c r="A109" s="129" t="n"/>
      <c r="B109" s="785" t="n"/>
      <c r="C109" s="135" t="inlineStr">
        <is>
          <t>QA-Rug_SYMBOL-B_BL</t>
        </is>
      </c>
      <c r="D109" s="1128" t="n"/>
      <c r="E109" s="1128" t="n"/>
      <c r="F109" s="1129" t="n"/>
      <c r="G109" s="1130" t="n"/>
      <c r="H109" s="1130" t="n"/>
      <c r="I109" s="1131" t="n"/>
      <c r="J109" s="1126" t="n"/>
      <c r="K109" s="1126" t="n"/>
      <c r="L109" s="1132" t="n"/>
      <c r="M109" s="231" t="n"/>
      <c r="N109" s="1124" t="n"/>
      <c r="O109" s="1124" t="n"/>
      <c r="P109" s="1124" t="n"/>
    </row>
    <row r="110" ht="18" customFormat="1" customHeight="1" s="126">
      <c r="A110" s="129" t="n"/>
      <c r="B110" s="785" t="n"/>
      <c r="C110" s="135" t="inlineStr">
        <is>
          <t>POUCH-Tarpaulin-BK</t>
        </is>
      </c>
      <c r="D110" s="1128" t="n"/>
      <c r="E110" s="1128" t="n"/>
      <c r="F110" s="1129" t="n"/>
      <c r="G110" s="1130" t="n"/>
      <c r="H110" s="1130" t="n"/>
      <c r="I110" s="1131" t="n"/>
      <c r="J110" s="1126" t="n"/>
      <c r="K110" s="1126" t="n"/>
      <c r="L110" s="1132" t="n"/>
      <c r="M110" s="131" t="n"/>
      <c r="N110" s="1124" t="n"/>
      <c r="O110" s="1124" t="n"/>
      <c r="P110" s="1124" t="n"/>
    </row>
    <row r="111" ht="18" customFormat="1" customHeight="1" s="126">
      <c r="A111" s="129" t="n"/>
      <c r="B111" s="785" t="n"/>
      <c r="C111" s="135" t="inlineStr">
        <is>
          <t>POUCH-Tarpaulin-BLUE</t>
        </is>
      </c>
      <c r="D111" s="1128" t="n"/>
      <c r="E111" s="1128" t="n"/>
      <c r="F111" s="1129" t="n"/>
      <c r="G111" s="1130" t="n"/>
      <c r="H111" s="1130" t="n"/>
      <c r="I111" s="1131" t="n"/>
      <c r="J111" s="1126" t="n"/>
      <c r="K111" s="1126" t="n"/>
      <c r="L111" s="1132" t="n"/>
      <c r="M111" s="131" t="n"/>
      <c r="N111" s="1124" t="n"/>
      <c r="O111" s="1124" t="n"/>
      <c r="P111" s="1124" t="n"/>
    </row>
    <row r="112" ht="18" customFormat="1" customHeight="1" s="126">
      <c r="A112" s="129" t="n"/>
      <c r="B112" s="785" t="n"/>
      <c r="C112" s="135" t="inlineStr">
        <is>
          <t>POUCH-Tarpaulin-RED</t>
        </is>
      </c>
      <c r="D112" s="1128" t="n"/>
      <c r="E112" s="1128" t="n"/>
      <c r="F112" s="1129" t="n"/>
      <c r="G112" s="1130" t="n"/>
      <c r="H112" s="1130" t="n"/>
      <c r="I112" s="1131" t="n"/>
      <c r="J112" s="1126" t="n"/>
      <c r="K112" s="1126" t="n"/>
      <c r="L112" s="1132" t="n"/>
      <c r="M112" s="131" t="n"/>
      <c r="N112" s="1124" t="n"/>
      <c r="O112" s="1124" t="n"/>
      <c r="P112" s="1124" t="n"/>
    </row>
    <row r="113" ht="18" customFormat="1" customHeight="1" s="126">
      <c r="A113" s="129" t="n"/>
      <c r="B113" s="785" t="n"/>
      <c r="C113" s="135" t="inlineStr">
        <is>
          <t>POUCH-Tarpaulin-WH</t>
        </is>
      </c>
      <c r="D113" s="1128" t="n"/>
      <c r="E113" s="1128" t="n"/>
      <c r="F113" s="1129" t="n"/>
      <c r="G113" s="1130" t="n"/>
      <c r="H113" s="1130" t="n"/>
      <c r="I113" s="1131" t="n"/>
      <c r="J113" s="1126" t="n"/>
      <c r="K113" s="1126" t="n"/>
      <c r="L113" s="1132" t="n"/>
      <c r="M113" s="131" t="n"/>
      <c r="N113" s="1124" t="n"/>
      <c r="O113" s="1124" t="n"/>
      <c r="P113" s="1124" t="n"/>
    </row>
    <row r="114" ht="18" customFormat="1" customHeight="1" s="126">
      <c r="A114" s="129" t="n"/>
      <c r="B114" s="785" t="n"/>
      <c r="C114" s="135" t="inlineStr">
        <is>
          <t>POUCH-Tarpaulin-YL</t>
        </is>
      </c>
      <c r="D114" s="1150" t="n"/>
      <c r="E114" s="1150" t="n"/>
      <c r="F114" s="1151" t="n"/>
      <c r="G114" s="1152" t="n"/>
      <c r="H114" s="1152" t="n"/>
      <c r="I114" s="1153" t="n"/>
      <c r="J114" s="1154" t="n"/>
      <c r="K114" s="1154" t="n"/>
      <c r="L114" s="1155" t="n"/>
      <c r="M114" s="137" t="n"/>
      <c r="N114" s="1207" t="n"/>
      <c r="O114" s="1207" t="n"/>
      <c r="P114" s="1207" t="n"/>
    </row>
    <row r="115" ht="18" customFormat="1" customHeight="1" s="126">
      <c r="A115" s="129" t="n"/>
      <c r="B115" s="785" t="n"/>
      <c r="C115" s="135" t="inlineStr">
        <is>
          <t>POUCH-Tarpaulin_F-GR</t>
        </is>
      </c>
      <c r="D115" s="1128" t="n"/>
      <c r="E115" s="1128" t="n"/>
      <c r="F115" s="1129" t="n"/>
      <c r="G115" s="1130" t="n"/>
      <c r="H115" s="1130" t="n"/>
      <c r="I115" s="1131" t="n"/>
      <c r="J115" s="1126" t="n"/>
      <c r="K115" s="1126" t="n"/>
      <c r="L115" s="1132" t="n"/>
      <c r="M115" s="131" t="n"/>
      <c r="N115" s="1124" t="n"/>
      <c r="O115" s="1124" t="n"/>
      <c r="P115" s="1124" t="n"/>
    </row>
    <row r="116" ht="18" customFormat="1" customHeight="1" s="126">
      <c r="A116" s="129" t="n"/>
      <c r="B116" s="785" t="n"/>
      <c r="C116" s="90" t="inlineStr">
        <is>
          <t>CASE-QP1000A-Ebony</t>
        </is>
      </c>
      <c r="D116" s="1128" t="n"/>
      <c r="E116" s="1128" t="n"/>
      <c r="F116" s="1129" t="n"/>
      <c r="G116" s="1130" t="n"/>
      <c r="H116" s="1130" t="n"/>
      <c r="I116" s="1131" t="n"/>
      <c r="J116" s="1124" t="n"/>
      <c r="K116" s="1124" t="n"/>
      <c r="L116" s="1125" t="n"/>
      <c r="M116" s="131" t="n"/>
      <c r="N116" s="1124" t="n"/>
      <c r="O116" s="1124" t="n"/>
      <c r="P116" s="1124" t="n"/>
    </row>
    <row r="117" ht="18" customFormat="1" customHeight="1" s="126">
      <c r="A117" s="129" t="n"/>
      <c r="B117" s="785" t="n"/>
      <c r="C117" s="90" t="inlineStr">
        <is>
          <t>CASE-QP1000A-Lavende</t>
        </is>
      </c>
      <c r="D117" s="1128" t="n"/>
      <c r="E117" s="1128" t="n"/>
      <c r="F117" s="1129" t="n"/>
      <c r="G117" s="1130" t="n"/>
      <c r="H117" s="1130" t="n"/>
      <c r="I117" s="1131" t="n"/>
      <c r="J117" s="1124" t="n"/>
      <c r="K117" s="1124" t="n"/>
      <c r="L117" s="1125" t="n"/>
      <c r="M117" s="131" t="n"/>
      <c r="N117" s="1124" t="n"/>
      <c r="O117" s="1124" t="n"/>
      <c r="P117" s="1124" t="n"/>
    </row>
    <row r="118" ht="18" customFormat="1" customHeight="1" s="126">
      <c r="A118" s="129" t="n"/>
      <c r="B118" s="785" t="n"/>
      <c r="C118" s="90" t="inlineStr">
        <is>
          <t>CASE-QP1000A-Mint</t>
        </is>
      </c>
      <c r="D118" s="1128" t="n"/>
      <c r="E118" s="1128" t="n"/>
      <c r="F118" s="1129" t="n"/>
      <c r="G118" s="1130" t="n"/>
      <c r="H118" s="1130" t="n"/>
      <c r="I118" s="1131" t="n"/>
      <c r="J118" s="1124" t="n"/>
      <c r="K118" s="1124" t="n"/>
      <c r="L118" s="1125" t="n"/>
      <c r="M118" s="131" t="n"/>
      <c r="N118" s="1124" t="n"/>
      <c r="O118" s="1124" t="n"/>
      <c r="P118" s="1124" t="n"/>
    </row>
    <row r="119" ht="18" customFormat="1" customHeight="1" s="126">
      <c r="A119" s="129" t="n"/>
      <c r="B119" s="785" t="n"/>
      <c r="C119" s="90" t="inlineStr">
        <is>
          <t>CASE-QP1000A-Sand</t>
        </is>
      </c>
      <c r="D119" s="1128" t="n"/>
      <c r="E119" s="1128" t="n"/>
      <c r="F119" s="1129" t="n"/>
      <c r="G119" s="1130" t="n"/>
      <c r="H119" s="1130" t="n"/>
      <c r="I119" s="1131" t="n"/>
      <c r="J119" s="1124" t="n"/>
      <c r="K119" s="1124" t="n"/>
      <c r="L119" s="1125" t="n"/>
      <c r="M119" s="131" t="n"/>
      <c r="N119" s="1207" t="n"/>
      <c r="O119" s="1207" t="n"/>
      <c r="P119" s="1207" t="n"/>
    </row>
    <row r="120" ht="18" customFormat="1" customHeight="1" s="126">
      <c r="A120" s="129" t="n"/>
      <c r="B120" s="785" t="n"/>
      <c r="C120" s="135" t="inlineStr">
        <is>
          <t>CASE-QP1000-Cl-kyobo</t>
        </is>
      </c>
      <c r="D120" s="1172" t="n"/>
      <c r="E120" s="1128" t="n"/>
      <c r="F120" s="1129" t="n"/>
      <c r="G120" s="1130" t="n"/>
      <c r="H120" s="1130" t="n"/>
      <c r="I120" s="1131" t="n"/>
      <c r="J120" s="1124" t="n"/>
      <c r="K120" s="1124" t="n"/>
      <c r="L120" s="1125" t="n"/>
      <c r="M120" s="131" t="n"/>
      <c r="N120" s="1124" t="n"/>
      <c r="O120" s="1124" t="n"/>
      <c r="P120" s="1124" t="n"/>
    </row>
    <row r="121" ht="18" customFormat="1" customHeight="1" s="126">
      <c r="A121" s="129" t="n"/>
      <c r="B121" s="785" t="n"/>
      <c r="C121" s="135" t="inlineStr">
        <is>
          <t>CASE-QP1000C-Hand-Bl</t>
        </is>
      </c>
      <c r="D121" s="1172" t="n"/>
      <c r="E121" s="1128" t="n"/>
      <c r="F121" s="1129" t="n"/>
      <c r="G121" s="1130" t="n"/>
      <c r="H121" s="1130" t="n"/>
      <c r="I121" s="1131" t="n"/>
      <c r="J121" s="1124" t="n"/>
      <c r="K121" s="1124" t="n"/>
      <c r="L121" s="1125" t="n"/>
      <c r="M121" s="131" t="n"/>
      <c r="N121" s="1124" t="n"/>
      <c r="O121" s="1124" t="n"/>
      <c r="P121" s="1124" t="n"/>
    </row>
    <row r="122" ht="18" customFormat="1" customHeight="1" s="126">
      <c r="A122" s="129" t="n"/>
      <c r="B122" s="785" t="n"/>
      <c r="C122" s="135" t="inlineStr">
        <is>
          <t>CASE-QP1000C-Hand-Cl</t>
        </is>
      </c>
      <c r="D122" s="1172" t="n"/>
      <c r="E122" s="1128" t="n"/>
      <c r="F122" s="1129" t="n"/>
      <c r="G122" s="1130" t="n"/>
      <c r="H122" s="1130" t="n"/>
      <c r="I122" s="1131" t="n"/>
      <c r="J122" s="1124" t="n"/>
      <c r="K122" s="1124" t="n"/>
      <c r="L122" s="1125" t="n"/>
      <c r="M122" s="131" t="n"/>
      <c r="N122" s="1124" t="n"/>
      <c r="O122" s="1124" t="n"/>
      <c r="P122" s="1124" t="n"/>
    </row>
    <row r="123" ht="18" customFormat="1" customHeight="1" s="126">
      <c r="A123" s="129" t="n"/>
      <c r="B123" s="785" t="n"/>
      <c r="C123" s="135" t="inlineStr">
        <is>
          <t>CASE-QP1000C-Hand-Eb</t>
        </is>
      </c>
      <c r="D123" s="1172" t="n"/>
      <c r="E123" s="1128" t="n"/>
      <c r="F123" s="1129" t="n"/>
      <c r="G123" s="1130" t="n"/>
      <c r="H123" s="1130" t="n"/>
      <c r="I123" s="1131" t="n"/>
      <c r="J123" s="1124" t="n"/>
      <c r="K123" s="1124" t="n"/>
      <c r="L123" s="1125" t="n"/>
      <c r="M123" s="131" t="n"/>
      <c r="N123" s="1124" t="n"/>
      <c r="O123" s="1124" t="n"/>
      <c r="P123" s="1124" t="n"/>
    </row>
    <row r="124" ht="18" customFormat="1" customHeight="1" s="126">
      <c r="A124" s="129" t="n"/>
      <c r="B124" s="785" t="n"/>
      <c r="C124" s="135" t="inlineStr">
        <is>
          <t>CASE-QP1000C-Hand-Gr</t>
        </is>
      </c>
      <c r="D124" s="1172" t="n"/>
      <c r="E124" s="1128" t="n"/>
      <c r="F124" s="1129" t="n"/>
      <c r="G124" s="1130" t="n"/>
      <c r="H124" s="1130" t="n"/>
      <c r="I124" s="1131" t="n"/>
      <c r="J124" s="1124" t="n"/>
      <c r="K124" s="1124" t="n"/>
      <c r="L124" s="1125" t="n"/>
      <c r="M124" s="131" t="n"/>
      <c r="N124" s="1124" t="n"/>
      <c r="O124" s="1124" t="n"/>
      <c r="P124" s="1124" t="n"/>
    </row>
    <row r="125" ht="18" customFormat="1" customHeight="1" s="126">
      <c r="A125" s="129" t="n"/>
      <c r="B125" s="785" t="n"/>
      <c r="C125" s="135" t="inlineStr">
        <is>
          <t>CASE-QP1000C-Hand-La</t>
        </is>
      </c>
      <c r="D125" s="1172" t="n"/>
      <c r="E125" s="1128" t="n"/>
      <c r="F125" s="1129" t="n"/>
      <c r="G125" s="1130" t="n"/>
      <c r="H125" s="1130" t="n"/>
      <c r="I125" s="1131" t="n"/>
      <c r="J125" s="1124" t="n"/>
      <c r="K125" s="1124" t="n"/>
      <c r="L125" s="1125" t="n"/>
      <c r="M125" s="131" t="n"/>
      <c r="N125" s="1124" t="n"/>
      <c r="O125" s="1124" t="n"/>
      <c r="P125" s="1124" t="n"/>
    </row>
    <row r="126" ht="18" customFormat="1" customHeight="1" s="126">
      <c r="A126" s="129" t="n"/>
      <c r="B126" s="785" t="n"/>
      <c r="C126" s="135" t="inlineStr">
        <is>
          <t>CASE-QP1000C-Hand-Mi</t>
        </is>
      </c>
      <c r="D126" s="1172" t="n"/>
      <c r="E126" s="1128" t="n"/>
      <c r="F126" s="1129" t="n"/>
      <c r="G126" s="1130" t="n"/>
      <c r="H126" s="1130" t="n"/>
      <c r="I126" s="1131" t="n"/>
      <c r="J126" s="1124" t="n"/>
      <c r="K126" s="1124" t="n"/>
      <c r="L126" s="1125" t="n"/>
      <c r="M126" s="131" t="n"/>
      <c r="N126" s="1124" t="n"/>
      <c r="O126" s="1124" t="n"/>
      <c r="P126" s="1124" t="n"/>
    </row>
    <row r="127" ht="18" customFormat="1" customHeight="1" s="126">
      <c r="A127" s="129" t="n"/>
      <c r="B127" s="785" t="n"/>
      <c r="C127" s="135" t="inlineStr">
        <is>
          <t>CASE-QP1000C-Hand-Re</t>
        </is>
      </c>
      <c r="D127" s="1172" t="n"/>
      <c r="E127" s="1128" t="n"/>
      <c r="F127" s="1129" t="n"/>
      <c r="G127" s="1130" t="n"/>
      <c r="H127" s="1130" t="n"/>
      <c r="I127" s="1131" t="n"/>
      <c r="J127" s="1124" t="n"/>
      <c r="K127" s="1124" t="n"/>
      <c r="L127" s="1125" t="n"/>
      <c r="M127" s="131" t="n"/>
      <c r="N127" s="1124" t="n"/>
      <c r="O127" s="1124" t="n"/>
      <c r="P127" s="1124" t="n"/>
    </row>
    <row r="128" ht="18" customFormat="1" customHeight="1" s="126">
      <c r="A128" s="129" t="n"/>
      <c r="B128" s="785" t="n"/>
      <c r="C128" s="135" t="inlineStr">
        <is>
          <t>CASE-QP1000C-Hand-Sa</t>
        </is>
      </c>
      <c r="D128" s="1172" t="n"/>
      <c r="E128" s="1128" t="n"/>
      <c r="F128" s="1129" t="n"/>
      <c r="G128" s="1130" t="n"/>
      <c r="H128" s="1130" t="n"/>
      <c r="I128" s="1131" t="n"/>
      <c r="J128" s="1124" t="n"/>
      <c r="K128" s="1124" t="n"/>
      <c r="L128" s="1125" t="n"/>
      <c r="M128" s="131" t="n"/>
      <c r="N128" s="1124" t="n"/>
      <c r="O128" s="1124" t="n"/>
      <c r="P128" s="1124" t="n"/>
    </row>
    <row r="129" ht="18" customFormat="1" customHeight="1" s="126">
      <c r="A129" s="129" t="n"/>
      <c r="B129" s="785" t="n"/>
      <c r="C129" s="135" t="inlineStr">
        <is>
          <t>CASE-QP1000C-Hand-PK</t>
        </is>
      </c>
      <c r="D129" s="1172" t="n"/>
      <c r="E129" s="1128" t="n"/>
      <c r="F129" s="1129" t="n"/>
      <c r="G129" s="1130" t="n"/>
      <c r="H129" s="1130" t="n"/>
      <c r="I129" s="1131" t="n"/>
      <c r="J129" s="1124" t="n"/>
      <c r="K129" s="1124" t="n"/>
      <c r="L129" s="1125" t="n"/>
      <c r="M129" s="131" t="n"/>
      <c r="N129" s="1124" t="n"/>
      <c r="O129" s="1124" t="n"/>
      <c r="P129" s="1124" t="n"/>
    </row>
    <row r="130" ht="18" customFormat="1" customHeight="1" s="126">
      <c r="A130" s="129" t="n"/>
      <c r="B130" s="785" t="n"/>
      <c r="C130" s="135" t="inlineStr">
        <is>
          <t>CASE-QP1000C-Hand-Ye</t>
        </is>
      </c>
      <c r="D130" s="1172" t="n"/>
      <c r="E130" s="1128" t="n"/>
      <c r="F130" s="1129" t="n"/>
      <c r="G130" s="1130" t="n"/>
      <c r="H130" s="1130" t="n"/>
      <c r="I130" s="1131" t="n"/>
      <c r="J130" s="1124" t="n"/>
      <c r="K130" s="1124" t="n"/>
      <c r="L130" s="1125" t="n"/>
      <c r="M130" s="131" t="n"/>
      <c r="N130" s="1124" t="n"/>
      <c r="O130" s="1124" t="n"/>
      <c r="P130" s="1124" t="n"/>
    </row>
    <row r="131" ht="18" customFormat="1" customHeight="1" s="126">
      <c r="A131" s="129" t="n"/>
      <c r="B131" s="785" t="n"/>
      <c r="C131" s="135" t="inlineStr">
        <is>
          <t>CASE-QP1000-Hand-GlB</t>
        </is>
      </c>
      <c r="D131" s="1172" t="n"/>
      <c r="E131" s="1128" t="n"/>
      <c r="F131" s="1129" t="n"/>
      <c r="G131" s="1130" t="n"/>
      <c r="H131" s="1130" t="n"/>
      <c r="I131" s="1131" t="n"/>
      <c r="J131" s="1124" t="n"/>
      <c r="K131" s="1124" t="n"/>
      <c r="L131" s="1125" t="n"/>
      <c r="M131" s="131" t="n"/>
      <c r="N131" s="1124" t="n"/>
      <c r="O131" s="1124" t="n"/>
      <c r="P131" s="1124" t="n"/>
    </row>
    <row r="132" ht="18" customFormat="1" customHeight="1" s="126">
      <c r="A132" s="129" t="n"/>
      <c r="B132" s="785" t="n"/>
      <c r="C132" s="135" t="inlineStr">
        <is>
          <t>CASE-QP1000-Hand-GlG</t>
        </is>
      </c>
      <c r="D132" s="1172" t="n"/>
      <c r="E132" s="1128" t="n"/>
      <c r="F132" s="1129" t="n"/>
      <c r="G132" s="1130" t="n"/>
      <c r="H132" s="1130" t="n"/>
      <c r="I132" s="1131" t="n"/>
      <c r="J132" s="1124" t="n"/>
      <c r="K132" s="1124" t="n"/>
      <c r="L132" s="1125" t="n"/>
      <c r="M132" s="131" t="n"/>
      <c r="N132" s="1124" t="n"/>
      <c r="O132" s="1124" t="n"/>
      <c r="P132" s="1124" t="n"/>
    </row>
    <row r="133" ht="18" customFormat="1" customHeight="1" s="126">
      <c r="A133" s="129" t="n"/>
      <c r="B133" s="785" t="n"/>
      <c r="C133" s="135" t="inlineStr">
        <is>
          <t>CASE-QP1000-Hand-GlO</t>
        </is>
      </c>
      <c r="D133" s="1172" t="n"/>
      <c r="E133" s="1128" t="n"/>
      <c r="F133" s="1129" t="n"/>
      <c r="G133" s="1130" t="n"/>
      <c r="H133" s="1130" t="n"/>
      <c r="I133" s="1131" t="n"/>
      <c r="J133" s="1124" t="n"/>
      <c r="K133" s="1124" t="n"/>
      <c r="L133" s="1125" t="n"/>
      <c r="M133" s="131" t="n"/>
      <c r="N133" s="1124" t="n"/>
      <c r="O133" s="1124" t="n"/>
      <c r="P133" s="1124" t="n"/>
    </row>
    <row r="134" ht="18" customFormat="1" customHeight="1" s="126">
      <c r="A134" s="129" t="n"/>
      <c r="B134" s="785" t="n"/>
      <c r="C134" s="135" t="inlineStr">
        <is>
          <t>CASE-QP1000-Hand-GlY</t>
        </is>
      </c>
      <c r="D134" s="1172" t="n"/>
      <c r="E134" s="1128" t="n"/>
      <c r="F134" s="1129" t="n"/>
      <c r="G134" s="1130" t="n"/>
      <c r="H134" s="1130" t="n"/>
      <c r="I134" s="1131" t="n"/>
      <c r="J134" s="1124" t="n"/>
      <c r="K134" s="1124" t="n"/>
      <c r="L134" s="1125" t="n"/>
      <c r="M134" s="131" t="n"/>
      <c r="N134" s="1124" t="n"/>
      <c r="O134" s="1124" t="n"/>
      <c r="P134" s="1124" t="n"/>
    </row>
    <row r="135" ht="18" customFormat="1" customHeight="1" s="126">
      <c r="A135" s="129" t="n"/>
      <c r="B135" s="785" t="n"/>
      <c r="C135" s="135" t="inlineStr">
        <is>
          <t>CASE-QP2000C-Blue</t>
        </is>
      </c>
      <c r="D135" s="1172" t="n"/>
      <c r="E135" s="1128" t="n"/>
      <c r="F135" s="1129" t="n"/>
      <c r="G135" s="1130" t="n"/>
      <c r="H135" s="1130" t="n"/>
      <c r="I135" s="1131" t="n"/>
      <c r="J135" s="1124" t="n"/>
      <c r="K135" s="1124" t="n"/>
      <c r="L135" s="1125" t="n"/>
      <c r="M135" s="131" t="n"/>
      <c r="N135" s="1124" t="n"/>
      <c r="O135" s="1124" t="n"/>
      <c r="P135" s="1124" t="n"/>
    </row>
    <row r="136" ht="18" customFormat="1" customHeight="1" s="126">
      <c r="A136" s="129" t="n"/>
      <c r="B136" s="785" t="n"/>
      <c r="C136" s="135" t="inlineStr">
        <is>
          <t>CASE-QP2000C-Cloud</t>
        </is>
      </c>
      <c r="D136" s="1172" t="n"/>
      <c r="E136" s="1128" t="n"/>
      <c r="F136" s="1129" t="n"/>
      <c r="G136" s="1130" t="n"/>
      <c r="H136" s="1130" t="n"/>
      <c r="I136" s="1131" t="n"/>
      <c r="J136" s="1124" t="n"/>
      <c r="K136" s="1124" t="n"/>
      <c r="L136" s="1125" t="n"/>
      <c r="M136" s="131" t="n"/>
      <c r="N136" s="1124" t="n"/>
      <c r="O136" s="1124" t="n"/>
      <c r="P136" s="1124" t="n"/>
    </row>
    <row r="137" ht="18" customFormat="1" customHeight="1" s="126">
      <c r="B137" s="785" t="n"/>
      <c r="C137" s="512" t="inlineStr">
        <is>
          <t>CASE-QP2000C-Ebony</t>
        </is>
      </c>
      <c r="D137" s="1208" t="n"/>
      <c r="E137" s="1209" t="n"/>
      <c r="F137" s="1210" t="n"/>
      <c r="G137" s="1211" t="n"/>
      <c r="H137" s="1211" t="n"/>
      <c r="I137" s="1212" t="n"/>
      <c r="J137" s="1213" t="n"/>
      <c r="K137" s="1213" t="n"/>
      <c r="L137" s="1214" t="n"/>
      <c r="M137" s="312" t="n"/>
      <c r="N137" s="1124" t="n"/>
      <c r="O137" s="1124" t="n"/>
      <c r="P137" s="1124" t="n"/>
    </row>
    <row r="138" ht="18" customFormat="1" customHeight="1" s="126">
      <c r="B138" s="785" t="n"/>
      <c r="C138" s="135" t="inlineStr">
        <is>
          <t>CASE-QP2000C-Green</t>
        </is>
      </c>
      <c r="D138" s="1172" t="n"/>
      <c r="E138" s="1128" t="n"/>
      <c r="F138" s="1129" t="n"/>
      <c r="G138" s="1130" t="n"/>
      <c r="H138" s="1130" t="n"/>
      <c r="I138" s="1131" t="n"/>
      <c r="J138" s="1124" t="n"/>
      <c r="K138" s="1124" t="n"/>
      <c r="L138" s="1125" t="n"/>
      <c r="M138" s="131" t="n"/>
      <c r="N138" s="1124" t="n"/>
      <c r="O138" s="1124" t="n"/>
      <c r="P138" s="1124" t="n"/>
    </row>
    <row r="139" ht="18" customFormat="1" customHeight="1" s="126">
      <c r="B139" s="785" t="n"/>
      <c r="C139" s="135" t="inlineStr">
        <is>
          <t>CASE-QP2000C-Lavende</t>
        </is>
      </c>
      <c r="D139" s="1172" t="n"/>
      <c r="E139" s="1128" t="n"/>
      <c r="F139" s="1129" t="n"/>
      <c r="G139" s="1130" t="n"/>
      <c r="H139" s="1130" t="n"/>
      <c r="I139" s="1131" t="n"/>
      <c r="J139" s="1124" t="n"/>
      <c r="K139" s="1124" t="n"/>
      <c r="L139" s="1125" t="n"/>
      <c r="M139" s="131" t="n"/>
      <c r="N139" s="1124" t="n"/>
      <c r="O139" s="1124" t="n"/>
      <c r="P139" s="1124" t="n"/>
    </row>
    <row r="140" ht="18" customFormat="1" customHeight="1" s="126">
      <c r="B140" s="785" t="n"/>
      <c r="C140" s="135" t="inlineStr">
        <is>
          <t>CASE-QP2000C-Mint</t>
        </is>
      </c>
      <c r="D140" s="1172" t="n"/>
      <c r="E140" s="1128" t="n"/>
      <c r="F140" s="1129" t="n"/>
      <c r="G140" s="1130" t="n"/>
      <c r="H140" s="1130" t="n"/>
      <c r="I140" s="1131" t="n"/>
      <c r="J140" s="1124" t="n"/>
      <c r="K140" s="1124" t="n"/>
      <c r="L140" s="1125" t="n"/>
      <c r="M140" s="131" t="n"/>
      <c r="N140" s="1124" t="n"/>
      <c r="O140" s="1124" t="n"/>
      <c r="P140" s="1124" t="n"/>
    </row>
    <row r="141" ht="18" customFormat="1" customHeight="1" s="126">
      <c r="B141" s="785" t="n"/>
      <c r="C141" s="135" t="inlineStr">
        <is>
          <t>CASE-QP2000C-Red</t>
        </is>
      </c>
      <c r="D141" s="1172" t="n"/>
      <c r="E141" s="1128" t="n"/>
      <c r="F141" s="1129" t="n"/>
      <c r="G141" s="1130" t="n"/>
      <c r="H141" s="1130" t="n"/>
      <c r="I141" s="1131" t="n"/>
      <c r="J141" s="1124" t="n"/>
      <c r="K141" s="1124" t="n"/>
      <c r="L141" s="1125" t="n"/>
      <c r="M141" s="131" t="n"/>
      <c r="N141" s="1124" t="n"/>
      <c r="O141" s="1124" t="n"/>
      <c r="P141" s="1124" t="n"/>
    </row>
    <row r="142" ht="18" customFormat="1" customHeight="1" s="126">
      <c r="B142" s="785" t="n"/>
      <c r="C142" s="135" t="inlineStr">
        <is>
          <t>CASE-QP2000C-Sand</t>
        </is>
      </c>
      <c r="D142" s="1172" t="n"/>
      <c r="E142" s="1128" t="n"/>
      <c r="F142" s="1129" t="n"/>
      <c r="G142" s="1130" t="n"/>
      <c r="H142" s="1130" t="n"/>
      <c r="I142" s="1131" t="n"/>
      <c r="J142" s="1124" t="n"/>
      <c r="K142" s="1124" t="n"/>
      <c r="L142" s="1125" t="n"/>
      <c r="M142" s="131" t="n"/>
      <c r="N142" s="1124" t="n"/>
      <c r="O142" s="1124" t="n"/>
      <c r="P142" s="1124" t="n"/>
    </row>
    <row r="143" ht="18" customFormat="1" customHeight="1" s="126">
      <c r="B143" s="785" t="n"/>
      <c r="C143" s="135" t="inlineStr">
        <is>
          <t>CASE-QP2000C-PINK</t>
        </is>
      </c>
      <c r="D143" s="1172" t="n"/>
      <c r="E143" s="1128" t="n"/>
      <c r="F143" s="1129" t="n"/>
      <c r="G143" s="1130" t="n"/>
      <c r="H143" s="1130" t="n"/>
      <c r="I143" s="1131" t="n"/>
      <c r="J143" s="1124" t="n"/>
      <c r="K143" s="1124" t="n"/>
      <c r="L143" s="1125" t="n"/>
      <c r="M143" s="131" t="n"/>
      <c r="N143" s="1124" t="n"/>
      <c r="O143" s="1124" t="n"/>
      <c r="P143" s="1124" t="n"/>
    </row>
    <row r="144" ht="18" customFormat="1" customHeight="1" s="126">
      <c r="B144" s="785" t="n"/>
      <c r="C144" s="135" t="inlineStr">
        <is>
          <t>CASE-QP2000C-Yellow</t>
        </is>
      </c>
      <c r="D144" s="1172" t="n"/>
      <c r="E144" s="1128" t="n"/>
      <c r="F144" s="1129" t="n"/>
      <c r="G144" s="1130" t="n"/>
      <c r="H144" s="1130" t="n"/>
      <c r="I144" s="1131" t="n"/>
      <c r="J144" s="1124" t="n"/>
      <c r="K144" s="1124" t="n"/>
      <c r="L144" s="1125" t="n"/>
      <c r="M144" s="131" t="n"/>
      <c r="N144" s="1124" t="n"/>
      <c r="O144" s="1124" t="n"/>
      <c r="P144" s="1124" t="n"/>
    </row>
    <row r="145" ht="18" customFormat="1" customHeight="1" s="126">
      <c r="B145" s="785" t="n"/>
      <c r="C145" s="245" t="inlineStr">
        <is>
          <t>CASE-QP2000-Cl-kyobo</t>
        </is>
      </c>
      <c r="D145" s="1215" t="n"/>
      <c r="E145" s="1120" t="n"/>
      <c r="F145" s="1121" t="n"/>
      <c r="G145" s="1122" t="n"/>
      <c r="H145" s="1122" t="n"/>
      <c r="I145" s="1123" t="n"/>
      <c r="J145" s="1124" t="n"/>
      <c r="K145" s="1124" t="n"/>
      <c r="L145" s="1125" t="n"/>
      <c r="M145" s="131" t="n"/>
      <c r="N145" s="1124" t="n"/>
      <c r="O145" s="1124" t="n"/>
      <c r="P145" s="1124" t="n"/>
    </row>
    <row r="146" ht="18" customFormat="1" customHeight="1" s="126">
      <c r="B146" s="785" t="n"/>
      <c r="C146" s="245" t="inlineStr">
        <is>
          <t>CASE-QP2000C_Hand_La</t>
        </is>
      </c>
      <c r="D146" s="1215" t="n"/>
      <c r="E146" s="1120" t="n"/>
      <c r="F146" s="1121" t="n"/>
      <c r="G146" s="1122" t="n"/>
      <c r="H146" s="1122" t="n"/>
      <c r="I146" s="1123" t="n"/>
      <c r="J146" s="1124" t="n"/>
      <c r="K146" s="1124" t="n"/>
      <c r="L146" s="1125" t="n"/>
      <c r="M146" s="131" t="n"/>
      <c r="N146" s="1124" t="n"/>
      <c r="O146" s="1124" t="n"/>
      <c r="P146" s="1124" t="n"/>
    </row>
    <row r="147" ht="18" customFormat="1" customHeight="1" s="126">
      <c r="B147" s="785" t="n"/>
      <c r="C147" s="245" t="inlineStr">
        <is>
          <t>CASE-QP2000C_Hand_Mi</t>
        </is>
      </c>
      <c r="D147" s="1215" t="n"/>
      <c r="E147" s="1120" t="n"/>
      <c r="F147" s="1121" t="n"/>
      <c r="G147" s="1122" t="n"/>
      <c r="H147" s="1122" t="n"/>
      <c r="I147" s="1123" t="n"/>
      <c r="J147" s="1124" t="n"/>
      <c r="K147" s="1124" t="n"/>
      <c r="L147" s="1125" t="n"/>
      <c r="M147" s="131" t="n"/>
      <c r="N147" s="1124" t="n"/>
      <c r="O147" s="1124" t="n"/>
      <c r="P147" s="1124" t="n"/>
    </row>
    <row r="148" ht="18" customFormat="1" customHeight="1" s="126">
      <c r="B148" s="785" t="n"/>
      <c r="C148" s="245" t="inlineStr">
        <is>
          <t>CASE-QP2000C_Hand_Sa</t>
        </is>
      </c>
      <c r="D148" s="1215" t="n"/>
      <c r="E148" s="1120" t="n"/>
      <c r="F148" s="1121" t="n"/>
      <c r="G148" s="1122" t="n"/>
      <c r="H148" s="1122" t="n"/>
      <c r="I148" s="1123" t="n"/>
      <c r="J148" s="1124" t="n"/>
      <c r="K148" s="1124" t="n"/>
      <c r="L148" s="1125" t="n"/>
      <c r="M148" s="131" t="n"/>
      <c r="N148" s="1124" t="n"/>
      <c r="O148" s="1124" t="n"/>
      <c r="P148" s="1124" t="n"/>
    </row>
    <row r="149" ht="18" customFormat="1" customHeight="1" s="126">
      <c r="B149" s="785" t="n"/>
      <c r="C149" s="245" t="inlineStr">
        <is>
          <t>CASE-QP2000C_Hand_PK</t>
        </is>
      </c>
      <c r="D149" s="1215" t="n"/>
      <c r="E149" s="1120" t="n"/>
      <c r="F149" s="1121" t="n"/>
      <c r="G149" s="1122" t="n"/>
      <c r="H149" s="1122" t="n"/>
      <c r="I149" s="1123" t="n"/>
      <c r="J149" s="1124" t="n"/>
      <c r="K149" s="1124" t="n"/>
      <c r="L149" s="1125" t="n"/>
      <c r="M149" s="131" t="n"/>
      <c r="N149" s="1207" t="n"/>
      <c r="O149" s="1207" t="n"/>
      <c r="P149" s="1207" t="n"/>
    </row>
    <row r="150" ht="18" customFormat="1" customHeight="1" s="126">
      <c r="B150" s="785" t="n"/>
      <c r="C150" s="245" t="inlineStr">
        <is>
          <t>CASE-QP2000-Hand-GlB</t>
        </is>
      </c>
      <c r="D150" s="1215" t="n"/>
      <c r="E150" s="1120" t="n"/>
      <c r="F150" s="1121" t="n"/>
      <c r="G150" s="1122" t="n"/>
      <c r="H150" s="1122" t="n"/>
      <c r="I150" s="1123" t="n"/>
      <c r="J150" s="1124" t="n"/>
      <c r="K150" s="1124" t="n"/>
      <c r="L150" s="1125" t="n"/>
      <c r="M150" s="131" t="n"/>
      <c r="N150" s="1124" t="n"/>
      <c r="O150" s="1124" t="n"/>
      <c r="P150" s="1124" t="n"/>
    </row>
    <row r="151" ht="18" customFormat="1" customHeight="1" s="126">
      <c r="B151" s="785" t="n"/>
      <c r="C151" s="245" t="inlineStr">
        <is>
          <t>CASE-QP2000-Hand-GlG</t>
        </is>
      </c>
      <c r="D151" s="1215" t="n"/>
      <c r="E151" s="1120" t="n"/>
      <c r="F151" s="1121" t="n"/>
      <c r="G151" s="1122" t="n"/>
      <c r="H151" s="1122" t="n"/>
      <c r="I151" s="1123" t="n"/>
      <c r="J151" s="1124" t="n"/>
      <c r="K151" s="1124" t="n"/>
      <c r="L151" s="1125" t="n"/>
      <c r="M151" s="131" t="n"/>
      <c r="N151" s="1124" t="n"/>
      <c r="O151" s="1124" t="n"/>
      <c r="P151" s="1124" t="n"/>
    </row>
    <row r="152" ht="18" customFormat="1" customHeight="1" s="126">
      <c r="B152" s="785" t="n"/>
      <c r="C152" s="245" t="inlineStr">
        <is>
          <t>CASE-QP2000-Hand-GlO</t>
        </is>
      </c>
      <c r="D152" s="1215" t="n"/>
      <c r="E152" s="1120" t="n"/>
      <c r="F152" s="1121" t="n"/>
      <c r="G152" s="1122" t="n"/>
      <c r="H152" s="1122" t="n"/>
      <c r="I152" s="1123" t="n"/>
      <c r="J152" s="1124" t="n"/>
      <c r="K152" s="1124" t="n"/>
      <c r="L152" s="1125" t="n"/>
      <c r="M152" s="131" t="n"/>
      <c r="N152" s="1124" t="n"/>
      <c r="O152" s="1124" t="n"/>
      <c r="P152" s="1124" t="n"/>
    </row>
    <row r="153" ht="18" customFormat="1" customHeight="1" s="126">
      <c r="B153" s="785" t="n"/>
      <c r="C153" s="245" t="inlineStr">
        <is>
          <t>CASE-QP2000-Hand-GlY</t>
        </is>
      </c>
      <c r="D153" s="1215" t="n"/>
      <c r="E153" s="1120" t="n"/>
      <c r="F153" s="1121" t="n"/>
      <c r="G153" s="1122" t="n"/>
      <c r="H153" s="1122" t="n"/>
      <c r="I153" s="1123" t="n"/>
      <c r="J153" s="1124" t="n"/>
      <c r="K153" s="1124" t="n"/>
      <c r="L153" s="1125" t="n"/>
      <c r="M153" s="131" t="n"/>
      <c r="N153" s="1124" t="n"/>
      <c r="O153" s="1124" t="n"/>
      <c r="P153" s="1124" t="n"/>
    </row>
    <row r="154" ht="18" customFormat="1" customHeight="1" s="126">
      <c r="A154" s="129" t="n"/>
      <c r="B154" s="785" t="n"/>
      <c r="C154" s="245" t="inlineStr">
        <is>
          <t>QMA-Cardwallet_BR</t>
        </is>
      </c>
      <c r="D154" s="1215" t="n"/>
      <c r="E154" s="1128" t="n"/>
      <c r="F154" s="1129" t="n"/>
      <c r="G154" s="1122" t="n"/>
      <c r="H154" s="1122" t="n"/>
      <c r="I154" s="1123" t="n"/>
      <c r="J154" s="1124" t="n"/>
      <c r="K154" s="1124" t="n"/>
      <c r="L154" s="1125" t="n"/>
      <c r="M154" s="131" t="n"/>
      <c r="N154" s="1124" t="n"/>
      <c r="O154" s="1124" t="n"/>
      <c r="P154" s="1124" t="n"/>
    </row>
    <row r="155" ht="18" customFormat="1" customHeight="1" s="126">
      <c r="A155" s="129" t="n"/>
      <c r="B155" s="785" t="n"/>
      <c r="C155" s="245" t="inlineStr">
        <is>
          <t>QMA-Cardwallet_OR</t>
        </is>
      </c>
      <c r="D155" s="1215" t="n"/>
      <c r="E155" s="1128" t="n"/>
      <c r="F155" s="1129" t="n"/>
      <c r="G155" s="1122" t="n"/>
      <c r="H155" s="1122" t="n"/>
      <c r="I155" s="1123" t="n"/>
      <c r="J155" s="1124" t="n"/>
      <c r="K155" s="1124" t="n"/>
      <c r="L155" s="1125" t="n"/>
      <c r="M155" s="131" t="n"/>
      <c r="N155" s="1124" t="n"/>
      <c r="O155" s="1124" t="n"/>
      <c r="P155" s="1124" t="n"/>
    </row>
    <row r="156" ht="18" customFormat="1" customHeight="1" s="126">
      <c r="A156" s="129" t="n"/>
      <c r="B156" s="785" t="n"/>
      <c r="C156" s="245" t="inlineStr">
        <is>
          <t>QMA-Cardwallet_GR</t>
        </is>
      </c>
      <c r="D156" s="1215" t="n"/>
      <c r="E156" s="1128" t="n"/>
      <c r="F156" s="1129" t="n"/>
      <c r="G156" s="1122" t="n"/>
      <c r="H156" s="1122" t="n"/>
      <c r="I156" s="1123" t="n"/>
      <c r="J156" s="1124" t="n"/>
      <c r="K156" s="1124" t="n"/>
      <c r="L156" s="1125" t="n"/>
      <c r="M156" s="131" t="n"/>
      <c r="N156" s="1124" t="n"/>
      <c r="O156" s="1124" t="n"/>
      <c r="P156" s="1124" t="n"/>
    </row>
    <row r="157" ht="18" customFormat="1" customHeight="1" s="126">
      <c r="A157" s="129" t="n"/>
      <c r="B157" s="785" t="n"/>
      <c r="C157" s="245" t="inlineStr">
        <is>
          <t>QMA-Cardwallet_NA</t>
        </is>
      </c>
      <c r="D157" s="1216" t="n"/>
      <c r="E157" s="1150" t="n"/>
      <c r="F157" s="1151" t="n"/>
      <c r="G157" s="1136" t="n"/>
      <c r="H157" s="1136" t="n"/>
      <c r="I157" s="1137" t="n"/>
      <c r="J157" s="1138" t="n"/>
      <c r="K157" s="1138" t="n"/>
      <c r="L157" s="1139" t="n"/>
      <c r="M157" s="137" t="n"/>
      <c r="N157" s="1207" t="n"/>
      <c r="O157" s="1207" t="n"/>
      <c r="P157" s="1207" t="n"/>
    </row>
    <row r="158" ht="18" customFormat="1" customHeight="1" s="126">
      <c r="A158" s="129" t="n"/>
      <c r="B158" s="785" t="n"/>
      <c r="C158" s="245" t="inlineStr">
        <is>
          <t>QMA-Cardwallet_PK</t>
        </is>
      </c>
      <c r="D158" s="1216" t="n"/>
      <c r="E158" s="1150" t="n"/>
      <c r="F158" s="1151" t="n"/>
      <c r="G158" s="1136" t="n"/>
      <c r="H158" s="1136" t="n"/>
      <c r="I158" s="1137" t="n"/>
      <c r="J158" s="1138" t="n"/>
      <c r="K158" s="1138" t="n"/>
      <c r="L158" s="1139" t="n"/>
      <c r="M158" s="137" t="n"/>
      <c r="N158" s="1124" t="n"/>
      <c r="O158" s="1124" t="n"/>
      <c r="P158" s="1124" t="n"/>
    </row>
    <row r="159" ht="18" customFormat="1" customHeight="1" s="126">
      <c r="A159" s="129" t="n"/>
      <c r="B159" s="785" t="n"/>
      <c r="C159" s="245" t="inlineStr">
        <is>
          <t>QMA-Cardwallet_BE</t>
        </is>
      </c>
      <c r="D159" s="1216" t="n"/>
      <c r="E159" s="1150" t="n"/>
      <c r="F159" s="1151" t="n"/>
      <c r="G159" s="1136" t="n"/>
      <c r="H159" s="1136" t="n"/>
      <c r="I159" s="1137" t="n"/>
      <c r="J159" s="1138" t="n"/>
      <c r="K159" s="1138" t="n"/>
      <c r="L159" s="1139" t="n"/>
      <c r="M159" s="305" t="n"/>
      <c r="N159" s="1124" t="n"/>
      <c r="O159" s="1124" t="n"/>
      <c r="P159" s="1124" t="n"/>
    </row>
    <row r="160" ht="18" customFormat="1" customHeight="1" s="126">
      <c r="A160" s="129" t="n"/>
      <c r="B160" s="785" t="n"/>
      <c r="C160" s="245" t="inlineStr">
        <is>
          <t>QMA-Cardwallet_DBR</t>
        </is>
      </c>
      <c r="D160" s="1216" t="n"/>
      <c r="E160" s="1150" t="n"/>
      <c r="F160" s="1151" t="n"/>
      <c r="G160" s="1136" t="n"/>
      <c r="H160" s="1136" t="n"/>
      <c r="I160" s="1137" t="n"/>
      <c r="J160" s="1138" t="n"/>
      <c r="K160" s="1138" t="n"/>
      <c r="L160" s="1139" t="n"/>
      <c r="M160" s="305" t="n"/>
      <c r="N160" s="1124" t="n"/>
      <c r="O160" s="1124" t="n"/>
      <c r="P160" s="1124" t="n"/>
    </row>
    <row r="161" ht="18" customFormat="1" customHeight="1" s="126">
      <c r="A161" s="129" t="n"/>
      <c r="B161" s="785" t="n"/>
      <c r="C161" s="245" t="inlineStr">
        <is>
          <t>QMA-Cardwallet_SGY</t>
        </is>
      </c>
      <c r="D161" s="1216" t="n"/>
      <c r="E161" s="1150" t="n"/>
      <c r="F161" s="1151" t="n"/>
      <c r="G161" s="1136" t="n"/>
      <c r="H161" s="1136" t="n"/>
      <c r="I161" s="1137" t="n"/>
      <c r="J161" s="1138" t="n"/>
      <c r="K161" s="1138" t="n"/>
      <c r="L161" s="1139" t="n"/>
      <c r="M161" s="305" t="n"/>
      <c r="N161" s="1124" t="n"/>
      <c r="O161" s="1124" t="n"/>
      <c r="P161" s="1124" t="n"/>
    </row>
    <row r="162" ht="18" customFormat="1" customHeight="1" s="126">
      <c r="A162" s="129" t="n"/>
      <c r="B162" s="785" t="n"/>
      <c r="C162" s="245" t="inlineStr">
        <is>
          <t>QMA-Cardwallet_AGY</t>
        </is>
      </c>
      <c r="D162" s="1216" t="n"/>
      <c r="E162" s="1150" t="n"/>
      <c r="F162" s="1151" t="n"/>
      <c r="G162" s="1136" t="n"/>
      <c r="H162" s="1136" t="n"/>
      <c r="I162" s="1137" t="n"/>
      <c r="J162" s="1138" t="n"/>
      <c r="K162" s="1138" t="n"/>
      <c r="L162" s="1139" t="n"/>
      <c r="M162" s="305" t="n"/>
      <c r="N162" s="1124" t="n"/>
      <c r="O162" s="1124" t="n"/>
      <c r="P162" s="1124" t="n"/>
    </row>
    <row r="163" ht="18" customFormat="1" customHeight="1" s="126">
      <c r="A163" s="129" t="n"/>
      <c r="B163" s="785" t="n"/>
      <c r="C163" s="245" t="inlineStr">
        <is>
          <t>QMA-Ringsticker_BK</t>
        </is>
      </c>
      <c r="D163" s="1216" t="n"/>
      <c r="E163" s="1150" t="n"/>
      <c r="F163" s="1151" t="n"/>
      <c r="G163" s="1136" t="n"/>
      <c r="H163" s="1136" t="n"/>
      <c r="I163" s="1137" t="n"/>
      <c r="J163" s="1138" t="n"/>
      <c r="K163" s="1138" t="n"/>
      <c r="L163" s="1139" t="n"/>
      <c r="M163" s="137" t="n"/>
      <c r="N163" s="1138" t="n"/>
      <c r="O163" s="1138" t="n"/>
      <c r="P163" s="1138" t="n"/>
    </row>
    <row r="164" ht="18" customFormat="1" customHeight="1" s="126">
      <c r="A164" s="129" t="n"/>
      <c r="B164" s="785" t="n"/>
      <c r="C164" s="245" t="inlineStr">
        <is>
          <t>QMA-Bubblepad_Or</t>
        </is>
      </c>
      <c r="D164" s="1216" t="n"/>
      <c r="E164" s="1150" t="n"/>
      <c r="F164" s="1151" t="n"/>
      <c r="G164" s="1136" t="n"/>
      <c r="H164" s="1136" t="n"/>
      <c r="I164" s="1137" t="n"/>
      <c r="J164" s="1138" t="n"/>
      <c r="K164" s="1138" t="n"/>
      <c r="L164" s="1139" t="n"/>
      <c r="M164" s="137" t="n"/>
      <c r="N164" s="1138" t="n"/>
      <c r="O164" s="1138" t="n"/>
      <c r="P164" s="1138" t="n"/>
    </row>
    <row r="165" ht="18" customFormat="1" customHeight="1" s="126">
      <c r="A165" s="129" t="n"/>
      <c r="B165" s="785" t="n"/>
      <c r="C165" s="215" t="inlineStr">
        <is>
          <t>QMA-Bubblepad_La</t>
        </is>
      </c>
      <c r="D165" s="1215" t="n"/>
      <c r="E165" s="1128" t="n"/>
      <c r="F165" s="1129" t="n"/>
      <c r="G165" s="1122" t="n"/>
      <c r="H165" s="1122" t="n"/>
      <c r="I165" s="1123" t="n"/>
      <c r="J165" s="1124" t="n"/>
      <c r="K165" s="1124" t="n"/>
      <c r="L165" s="1125" t="n"/>
      <c r="M165" s="131" t="n"/>
      <c r="N165" s="1124" t="n"/>
      <c r="O165" s="1124" t="n"/>
      <c r="P165" s="1124" t="n"/>
    </row>
    <row r="166" ht="18" customFormat="1" customHeight="1" s="126">
      <c r="A166" s="129" t="n"/>
      <c r="B166" s="785" t="n"/>
      <c r="C166" s="245" t="inlineStr">
        <is>
          <t>QMA-Bubblepad_Mi</t>
        </is>
      </c>
      <c r="D166" s="1215" t="n"/>
      <c r="E166" s="1128" t="n"/>
      <c r="F166" s="1129" t="n"/>
      <c r="G166" s="1122" t="n"/>
      <c r="H166" s="1122" t="n"/>
      <c r="I166" s="1123" t="n"/>
      <c r="J166" s="1124" t="n"/>
      <c r="K166" s="1124" t="n"/>
      <c r="L166" s="1125" t="n"/>
      <c r="M166" s="131" t="n"/>
      <c r="N166" s="1124" t="n"/>
      <c r="O166" s="1124" t="n"/>
      <c r="P166" s="1124" t="n"/>
    </row>
    <row r="167" ht="18" customFormat="1" customHeight="1" s="126">
      <c r="A167" s="129" t="n"/>
      <c r="B167" s="785" t="n"/>
      <c r="C167" s="245" t="inlineStr">
        <is>
          <t>QMA-Bubblepad_Bl</t>
        </is>
      </c>
      <c r="D167" s="1215" t="n"/>
      <c r="E167" s="1128" t="n"/>
      <c r="F167" s="1129" t="n"/>
      <c r="G167" s="1122" t="n"/>
      <c r="H167" s="1122" t="n"/>
      <c r="I167" s="1123" t="n"/>
      <c r="J167" s="1124" t="n"/>
      <c r="K167" s="1124" t="n"/>
      <c r="L167" s="1125" t="n"/>
      <c r="M167" s="131" t="n"/>
      <c r="N167" s="1124" t="n"/>
      <c r="O167" s="1124" t="n"/>
      <c r="P167" s="1124" t="n"/>
    </row>
    <row r="168" ht="18" customFormat="1" customHeight="1" s="126">
      <c r="A168" s="129" t="n"/>
      <c r="B168" s="785" t="n"/>
      <c r="C168" s="245" t="inlineStr">
        <is>
          <t>QMA-Bubblepad_Bk</t>
        </is>
      </c>
      <c r="D168" s="1215" t="n"/>
      <c r="E168" s="1128" t="n"/>
      <c r="F168" s="1129" t="n"/>
      <c r="G168" s="1122" t="n"/>
      <c r="H168" s="1122" t="n"/>
      <c r="I168" s="1123" t="n"/>
      <c r="J168" s="1124" t="n"/>
      <c r="K168" s="1124" t="n"/>
      <c r="L168" s="1125" t="n"/>
      <c r="M168" s="131" t="n"/>
      <c r="N168" s="1124" t="n"/>
      <c r="O168" s="1124" t="n"/>
      <c r="P168" s="1124" t="n"/>
    </row>
    <row r="169" ht="18" customFormat="1" customHeight="1" s="126" thickBot="1">
      <c r="A169" s="129" t="n"/>
      <c r="B169" s="757" t="n"/>
      <c r="C169" s="246" t="inlineStr">
        <is>
          <t>QMA-Bubblepad-Cr</t>
        </is>
      </c>
      <c r="D169" s="1217" t="n"/>
      <c r="E169" s="1165" t="n"/>
      <c r="F169" s="1166" t="n"/>
      <c r="G169" s="1218" t="n"/>
      <c r="H169" s="1218" t="n"/>
      <c r="I169" s="1219" t="n"/>
      <c r="J169" s="1171" t="n"/>
      <c r="K169" s="1171" t="n"/>
      <c r="L169" s="1220" t="n"/>
      <c r="M169" s="144" t="n"/>
      <c r="N169" s="1171" t="n"/>
      <c r="O169" s="1171" t="n"/>
      <c r="P169" s="1171" t="n"/>
    </row>
  </sheetData>
  <mergeCells count="23">
    <mergeCell ref="C2:C4"/>
    <mergeCell ref="B29:B46"/>
    <mergeCell ref="K2:K4"/>
    <mergeCell ref="B74:B78"/>
    <mergeCell ref="O2:O4"/>
    <mergeCell ref="B50:B59"/>
    <mergeCell ref="B79:B169"/>
    <mergeCell ref="B60:B72"/>
    <mergeCell ref="J2:J4"/>
    <mergeCell ref="L2:L4"/>
    <mergeCell ref="B47:B49"/>
    <mergeCell ref="B1:C1"/>
    <mergeCell ref="I2:I4"/>
    <mergeCell ref="G2:G4"/>
    <mergeCell ref="M2:M4"/>
    <mergeCell ref="B2:B4"/>
    <mergeCell ref="D2:D4"/>
    <mergeCell ref="B5:B28"/>
    <mergeCell ref="P2:P4"/>
    <mergeCell ref="F2:F4"/>
    <mergeCell ref="H2:H4"/>
    <mergeCell ref="N2:N4"/>
    <mergeCell ref="E2:E4"/>
  </mergeCells>
  <pageMargins left="0.7" right="0.7" top="0.75" bottom="0.75" header="0.3" footer="0.3"/>
  <pageSetup orientation="landscape" paperSize="9" scale="23" fitToWidth="0"/>
</worksheet>
</file>

<file path=xl/worksheets/sheet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L239"/>
  <sheetViews>
    <sheetView zoomScaleNormal="100" workbookViewId="0">
      <pane ySplit="2" topLeftCell="A27" activePane="bottomLeft" state="frozen"/>
      <selection activeCell="J18" sqref="J18"/>
      <selection pane="bottomLeft" activeCell="A40" sqref="A40"/>
    </sheetView>
  </sheetViews>
  <sheetFormatPr baseColWidth="8" defaultColWidth="9" defaultRowHeight="16.5"/>
  <cols>
    <col collapsed="1" width="21.125" customWidth="1" style="717" min="1" max="1"/>
    <col collapsed="1" width="55.875" customWidth="1" style="717" min="2" max="2"/>
    <col collapsed="1" width="20.875" customWidth="1" style="717" min="3" max="3"/>
    <col collapsed="1" width="18.125" customWidth="1" style="717" min="4" max="4"/>
    <col width="18.125" customWidth="1" style="717" min="5" max="5"/>
    <col width="3.375" customWidth="1" style="717" min="6" max="6"/>
    <col hidden="1" collapsed="1" width="20.875" customWidth="1" style="717" min="7" max="7"/>
    <col hidden="1" collapsed="1" width="22.875" customWidth="1" style="717" min="8" max="8"/>
    <col hidden="1" width="22.875" customWidth="1" style="717" min="9" max="9"/>
    <col width="9" customWidth="1" style="717" min="10" max="13"/>
    <col width="9" customWidth="1" style="717" min="14" max="16384"/>
  </cols>
  <sheetData>
    <row r="1">
      <c r="A1" s="697" t="n"/>
      <c r="B1" s="1221" t="n"/>
      <c r="C1" s="695" t="inlineStr">
        <is>
          <t>리큐엠</t>
        </is>
      </c>
      <c r="F1" s="695" t="n"/>
      <c r="G1" s="696" t="inlineStr">
        <is>
          <t>이모아이</t>
        </is>
      </c>
      <c r="H1" s="1221" t="n"/>
      <c r="I1" s="1221" t="n"/>
    </row>
    <row r="2">
      <c r="A2" s="107" t="inlineStr">
        <is>
          <t>품목코드</t>
        </is>
      </c>
      <c r="B2" s="107" t="inlineStr">
        <is>
          <t>품목명</t>
        </is>
      </c>
      <c r="C2" s="570" t="inlineStr">
        <is>
          <t>위킵창고</t>
        </is>
      </c>
      <c r="D2" s="113" t="inlineStr">
        <is>
          <t>본사창고</t>
        </is>
      </c>
      <c r="E2" s="114" t="inlineStr">
        <is>
          <t>불량창고</t>
        </is>
      </c>
      <c r="F2" s="115" t="n"/>
      <c r="G2" s="116" t="inlineStr">
        <is>
          <t>3자창고-청라(월딩)</t>
        </is>
      </c>
      <c r="H2" s="116" t="inlineStr">
        <is>
          <t>본사창고</t>
        </is>
      </c>
      <c r="I2" s="117" t="inlineStr">
        <is>
          <t>불량창고</t>
        </is>
      </c>
      <c r="J2" s="118" t="inlineStr">
        <is>
          <t>위킵합</t>
        </is>
      </c>
      <c r="K2" s="116" t="inlineStr">
        <is>
          <t>본사합</t>
        </is>
      </c>
      <c r="L2" s="119" t="inlineStr">
        <is>
          <t>불량합</t>
        </is>
      </c>
    </row>
    <row r="3">
      <c r="A3" s="108" t="n"/>
      <c r="B3" s="108" t="n"/>
      <c r="C3" s="109" t="n"/>
      <c r="D3" s="109" t="n"/>
      <c r="E3" s="109" t="n"/>
      <c r="F3" s="120" t="n"/>
      <c r="G3" s="109" t="n"/>
      <c r="H3" s="109" t="n"/>
      <c r="I3" s="109" t="n"/>
      <c r="J3" s="121" t="n"/>
      <c r="K3" s="121" t="n"/>
      <c r="L3" s="121" t="n"/>
    </row>
    <row r="4">
      <c r="A4" s="108" t="n"/>
      <c r="B4" s="108" t="n"/>
      <c r="C4" s="109" t="n"/>
      <c r="D4" s="109" t="n"/>
      <c r="E4" s="109" t="n"/>
      <c r="F4" s="122" t="n"/>
      <c r="G4" s="109" t="n"/>
      <c r="H4" s="109" t="n"/>
      <c r="I4" s="109" t="n"/>
      <c r="J4" s="121" t="n"/>
      <c r="K4" s="121" t="n"/>
      <c r="L4" s="121" t="n"/>
    </row>
    <row r="5">
      <c r="A5" s="274" t="n"/>
      <c r="B5" s="274" t="n"/>
      <c r="C5" s="275" t="n"/>
      <c r="D5" s="275" t="n"/>
      <c r="E5" s="275" t="n"/>
      <c r="F5" s="122" t="n"/>
      <c r="G5" s="275" t="n"/>
      <c r="H5" s="275" t="n"/>
      <c r="I5" s="275" t="n"/>
      <c r="J5" s="295" t="n"/>
      <c r="K5" s="295" t="n"/>
      <c r="L5" s="295" t="n"/>
    </row>
    <row r="6">
      <c r="A6" s="274" t="n"/>
      <c r="B6" s="274" t="n"/>
      <c r="C6" s="275" t="n"/>
      <c r="D6" s="275" t="n"/>
      <c r="E6" s="275" t="n"/>
      <c r="F6" s="122" t="n"/>
      <c r="G6" s="275" t="n"/>
      <c r="H6" s="275" t="n"/>
      <c r="I6" s="275" t="n"/>
      <c r="J6" s="295" t="n"/>
      <c r="K6" s="295" t="n"/>
      <c r="L6" s="295" t="n"/>
    </row>
    <row r="7">
      <c r="A7" s="108" t="n"/>
      <c r="B7" s="108" t="n"/>
      <c r="C7" s="109" t="n"/>
      <c r="D7" s="109" t="n"/>
      <c r="E7" s="109" t="n"/>
      <c r="F7" s="122" t="n"/>
      <c r="G7" s="109" t="n"/>
      <c r="H7" s="109" t="n"/>
      <c r="I7" s="109" t="n"/>
      <c r="J7" s="121" t="n"/>
      <c r="K7" s="121" t="n"/>
      <c r="L7" s="121" t="n"/>
    </row>
    <row r="8">
      <c r="A8" s="108" t="n"/>
      <c r="B8" s="108" t="n"/>
      <c r="C8" s="109" t="n"/>
      <c r="D8" s="109" t="n"/>
      <c r="E8" s="109" t="n"/>
      <c r="F8" s="122" t="n"/>
      <c r="G8" s="109" t="n"/>
      <c r="H8" s="109" t="n"/>
      <c r="I8" s="109" t="n"/>
      <c r="J8" s="121" t="n"/>
      <c r="K8" s="121" t="n"/>
      <c r="L8" s="121" t="n"/>
    </row>
    <row r="9">
      <c r="A9" s="237" t="n"/>
      <c r="B9" s="237" t="n"/>
      <c r="C9" s="109" t="n"/>
      <c r="D9" s="109" t="n"/>
      <c r="E9" s="109" t="n"/>
      <c r="F9" s="122" t="n"/>
      <c r="G9" s="109" t="n"/>
      <c r="H9" s="109" t="n"/>
      <c r="I9" s="109" t="n"/>
      <c r="J9" s="121" t="n"/>
      <c r="K9" s="121" t="n"/>
      <c r="L9" s="121" t="n"/>
    </row>
    <row r="10">
      <c r="A10" s="315" t="n"/>
      <c r="B10" s="43" t="n"/>
      <c r="C10" s="109" t="n"/>
      <c r="D10" s="109" t="n"/>
      <c r="E10" s="109" t="n"/>
      <c r="F10" s="122" t="n"/>
      <c r="G10" s="109" t="n"/>
      <c r="H10" s="109" t="n"/>
      <c r="I10" s="109" t="n"/>
      <c r="J10" s="121" t="n"/>
      <c r="K10" s="121" t="n"/>
      <c r="L10" s="121" t="n"/>
    </row>
    <row r="11">
      <c r="A11" s="108" t="n"/>
      <c r="B11" s="108" t="n"/>
      <c r="C11" s="109" t="n"/>
      <c r="D11" s="109" t="n"/>
      <c r="E11" s="109" t="n"/>
      <c r="F11" s="122" t="n"/>
      <c r="G11" s="109" t="n"/>
      <c r="H11" s="109" t="n"/>
      <c r="I11" s="109" t="n"/>
      <c r="J11" s="121" t="n"/>
      <c r="K11" s="121" t="n"/>
      <c r="L11" s="121" t="n"/>
    </row>
    <row r="12">
      <c r="A12" s="108" t="n"/>
      <c r="B12" s="108" t="n"/>
      <c r="C12" s="109" t="n"/>
      <c r="D12" s="109" t="n"/>
      <c r="E12" s="109" t="n"/>
      <c r="F12" s="122" t="n"/>
      <c r="G12" s="109" t="n"/>
      <c r="H12" s="109" t="n"/>
      <c r="I12" s="109" t="n"/>
      <c r="J12" s="121" t="n"/>
      <c r="K12" s="121" t="n"/>
      <c r="L12" s="121" t="n"/>
    </row>
    <row r="13">
      <c r="A13" s="108" t="n"/>
      <c r="B13" s="108" t="n"/>
      <c r="C13" s="109" t="n"/>
      <c r="D13" s="109" t="n"/>
      <c r="E13" s="109" t="n"/>
      <c r="F13" s="122" t="n"/>
      <c r="G13" s="109" t="n"/>
      <c r="H13" s="109" t="n"/>
      <c r="I13" s="109" t="n"/>
      <c r="J13" s="121" t="n"/>
      <c r="K13" s="121" t="n"/>
      <c r="L13" s="121" t="n"/>
    </row>
    <row r="14">
      <c r="A14" s="108" t="n"/>
      <c r="B14" s="108" t="n"/>
      <c r="C14" s="109" t="n"/>
      <c r="D14" s="109" t="n"/>
      <c r="E14" s="109" t="n"/>
      <c r="F14" s="122" t="n"/>
      <c r="G14" s="109" t="n"/>
      <c r="H14" s="109" t="n"/>
      <c r="I14" s="109" t="n"/>
      <c r="J14" s="121" t="n"/>
      <c r="K14" s="121" t="n"/>
      <c r="L14" s="121" t="n"/>
    </row>
    <row r="15">
      <c r="A15" s="108" t="n"/>
      <c r="B15" s="108" t="n"/>
      <c r="C15" s="109" t="n"/>
      <c r="D15" s="109" t="n"/>
      <c r="E15" s="109" t="n"/>
      <c r="F15" s="122" t="n"/>
      <c r="G15" s="109" t="n"/>
      <c r="H15" s="109" t="n"/>
      <c r="I15" s="109" t="n"/>
      <c r="J15" s="121" t="n"/>
      <c r="K15" s="121" t="n"/>
      <c r="L15" s="121" t="n"/>
    </row>
    <row r="16">
      <c r="A16" s="108" t="n"/>
      <c r="B16" s="108" t="n"/>
      <c r="C16" s="109" t="n"/>
      <c r="D16" s="109" t="n"/>
      <c r="E16" s="109" t="n"/>
      <c r="F16" s="122" t="n"/>
      <c r="G16" s="109" t="n"/>
      <c r="H16" s="109" t="n"/>
      <c r="I16" s="109" t="n"/>
      <c r="J16" s="121" t="n"/>
      <c r="K16" s="121" t="n"/>
      <c r="L16" s="121" t="n"/>
    </row>
    <row r="17">
      <c r="A17" s="108" t="n"/>
      <c r="B17" s="108" t="n"/>
      <c r="C17" s="109" t="n"/>
      <c r="D17" s="109" t="n"/>
      <c r="E17" s="109" t="n"/>
      <c r="F17" s="122" t="n"/>
      <c r="G17" s="109" t="n"/>
      <c r="H17" s="109" t="n"/>
      <c r="I17" s="109" t="n"/>
      <c r="J17" s="121" t="n"/>
      <c r="K17" s="121" t="n"/>
      <c r="L17" s="121" t="n"/>
    </row>
    <row r="18">
      <c r="A18" s="108" t="n"/>
      <c r="B18" s="108" t="n"/>
      <c r="C18" s="109" t="n"/>
      <c r="D18" s="109" t="n"/>
      <c r="E18" s="109" t="n"/>
      <c r="F18" s="122" t="n"/>
      <c r="G18" s="109" t="n"/>
      <c r="H18" s="109" t="n"/>
      <c r="I18" s="109" t="n"/>
      <c r="J18" s="121" t="n"/>
      <c r="K18" s="121" t="n"/>
      <c r="L18" s="121" t="n"/>
    </row>
    <row r="19">
      <c r="A19" s="108" t="n"/>
      <c r="B19" s="108" t="n"/>
      <c r="C19" s="109" t="n"/>
      <c r="D19" s="109" t="n"/>
      <c r="E19" s="109" t="n"/>
      <c r="F19" s="122" t="n"/>
      <c r="G19" s="109" t="n"/>
      <c r="H19" s="109" t="n"/>
      <c r="I19" s="109" t="n"/>
      <c r="J19" s="121" t="n"/>
      <c r="K19" s="121" t="n"/>
      <c r="L19" s="121" t="n"/>
    </row>
    <row r="20">
      <c r="A20" s="274" t="n"/>
      <c r="B20" s="528" t="n"/>
      <c r="C20" s="275" t="n"/>
      <c r="D20" s="275" t="n"/>
      <c r="E20" s="275" t="n"/>
      <c r="F20" s="122" t="n"/>
      <c r="G20" s="275" t="n"/>
      <c r="H20" s="275" t="n"/>
      <c r="I20" s="275" t="n"/>
      <c r="J20" s="295" t="n"/>
      <c r="K20" s="295" t="n"/>
      <c r="L20" s="295" t="n"/>
    </row>
    <row r="21">
      <c r="A21" s="274" t="n"/>
      <c r="B21" s="274" t="n"/>
      <c r="C21" s="275" t="n"/>
      <c r="D21" s="275" t="n"/>
      <c r="E21" s="275" t="n"/>
      <c r="F21" s="122" t="n"/>
      <c r="G21" s="275" t="n"/>
      <c r="H21" s="275" t="n"/>
      <c r="I21" s="275" t="n"/>
      <c r="J21" s="295" t="n"/>
      <c r="K21" s="295" t="n"/>
      <c r="L21" s="295" t="n"/>
    </row>
    <row r="22">
      <c r="A22" s="274" t="n"/>
      <c r="B22" s="274" t="n"/>
      <c r="C22" s="275" t="n"/>
      <c r="D22" s="275" t="n"/>
      <c r="E22" s="275" t="n"/>
      <c r="F22" s="122" t="n"/>
      <c r="G22" s="275" t="n"/>
      <c r="H22" s="275" t="n"/>
      <c r="I22" s="275" t="n"/>
      <c r="J22" s="295" t="n"/>
      <c r="K22" s="295" t="n"/>
      <c r="L22" s="295" t="n"/>
    </row>
    <row r="23">
      <c r="A23" s="274" t="n"/>
      <c r="B23" s="274" t="n"/>
      <c r="C23" s="275" t="n"/>
      <c r="D23" s="275" t="n"/>
      <c r="E23" s="275" t="n"/>
      <c r="F23" s="122" t="n"/>
      <c r="G23" s="275" t="n"/>
      <c r="H23" s="275" t="n"/>
      <c r="I23" s="275" t="n"/>
      <c r="J23" s="295" t="n"/>
      <c r="K23" s="295" t="n"/>
      <c r="L23" s="295" t="n"/>
    </row>
    <row r="24">
      <c r="A24" s="274" t="n"/>
      <c r="B24" s="274" t="n"/>
      <c r="C24" s="275" t="n"/>
      <c r="D24" s="275" t="n"/>
      <c r="E24" s="275" t="n"/>
      <c r="F24" s="122" t="n"/>
      <c r="G24" s="275" t="n"/>
      <c r="H24" s="275" t="n"/>
      <c r="I24" s="275" t="n"/>
      <c r="J24" s="295" t="n"/>
      <c r="K24" s="295" t="n"/>
      <c r="L24" s="295" t="n"/>
    </row>
    <row r="25">
      <c r="A25" s="274" t="n"/>
      <c r="B25" s="274" t="n"/>
      <c r="C25" s="275" t="n"/>
      <c r="D25" s="275" t="n"/>
      <c r="E25" s="275" t="n"/>
      <c r="F25" s="122" t="n"/>
      <c r="G25" s="275" t="n"/>
      <c r="H25" s="275" t="n"/>
      <c r="I25" s="275" t="n"/>
      <c r="J25" s="295" t="n"/>
      <c r="K25" s="295" t="n"/>
      <c r="L25" s="295" t="n"/>
    </row>
    <row r="26">
      <c r="A26" s="274" t="n"/>
      <c r="B26" s="274" t="n"/>
      <c r="C26" s="275" t="n"/>
      <c r="D26" s="275" t="n"/>
      <c r="E26" s="275" t="n"/>
      <c r="F26" s="122" t="n"/>
      <c r="G26" s="275" t="n"/>
      <c r="H26" s="275" t="n"/>
      <c r="I26" s="275" t="n"/>
      <c r="J26" s="295" t="n"/>
      <c r="K26" s="295" t="n"/>
      <c r="L26" s="295" t="n"/>
    </row>
    <row r="27">
      <c r="A27" s="108" t="n"/>
      <c r="B27" s="108" t="n"/>
      <c r="C27" s="109" t="n"/>
      <c r="D27" s="109" t="n"/>
      <c r="E27" s="109" t="n"/>
      <c r="F27" s="122" t="n"/>
      <c r="G27" s="109" t="n"/>
      <c r="H27" s="109" t="n"/>
      <c r="I27" s="109" t="n"/>
      <c r="J27" s="121" t="n"/>
      <c r="K27" s="121" t="n"/>
      <c r="L27" s="121" t="n"/>
    </row>
    <row r="28">
      <c r="A28" s="108" t="n"/>
      <c r="B28" s="108" t="n"/>
      <c r="C28" s="109" t="n"/>
      <c r="D28" s="109" t="n"/>
      <c r="E28" s="109" t="n"/>
      <c r="F28" s="122" t="n"/>
      <c r="G28" s="109" t="n"/>
      <c r="H28" s="109" t="n"/>
      <c r="I28" s="109" t="n"/>
      <c r="J28" s="121" t="n"/>
      <c r="K28" s="121" t="n"/>
      <c r="L28" s="121" t="n"/>
    </row>
    <row r="29">
      <c r="A29" s="108" t="n"/>
      <c r="B29" s="108" t="n"/>
      <c r="C29" s="109" t="n"/>
      <c r="D29" s="109" t="n"/>
      <c r="E29" s="109" t="n"/>
      <c r="F29" s="122" t="n"/>
      <c r="G29" s="109" t="n"/>
      <c r="H29" s="109" t="n"/>
      <c r="I29" s="109" t="n"/>
      <c r="J29" s="121" t="n"/>
      <c r="K29" s="121" t="n"/>
      <c r="L29" s="121" t="n"/>
    </row>
    <row r="30">
      <c r="A30" s="108" t="n"/>
      <c r="B30" s="108" t="n"/>
      <c r="C30" s="109" t="n"/>
      <c r="D30" s="109" t="n"/>
      <c r="E30" s="109" t="n"/>
      <c r="F30" s="122" t="n"/>
      <c r="G30" s="109" t="n"/>
      <c r="H30" s="109" t="n"/>
      <c r="I30" s="109" t="n"/>
      <c r="J30" s="121" t="n"/>
      <c r="K30" s="121" t="n"/>
      <c r="L30" s="121" t="n"/>
    </row>
    <row r="31">
      <c r="A31" s="108" t="n"/>
      <c r="B31" s="108" t="n"/>
      <c r="C31" s="109" t="n"/>
      <c r="D31" s="109" t="n"/>
      <c r="E31" s="109" t="n"/>
      <c r="F31" s="122" t="n"/>
      <c r="G31" s="109" t="n"/>
      <c r="H31" s="109" t="n"/>
      <c r="I31" s="109" t="n"/>
      <c r="J31" s="121" t="n"/>
      <c r="K31" s="121" t="n"/>
      <c r="L31" s="121" t="n"/>
    </row>
    <row r="32">
      <c r="A32" s="108" t="n"/>
      <c r="B32" s="108" t="n"/>
      <c r="C32" s="109" t="n"/>
      <c r="D32" s="109" t="n"/>
      <c r="E32" s="109" t="n"/>
      <c r="F32" s="122" t="n"/>
      <c r="G32" s="109" t="n"/>
      <c r="H32" s="109" t="n"/>
      <c r="I32" s="109" t="n"/>
      <c r="J32" s="121" t="n"/>
      <c r="K32" s="121" t="n"/>
      <c r="L32" s="121" t="n"/>
    </row>
    <row r="33">
      <c r="A33" s="274" t="n"/>
      <c r="B33" s="274" t="n"/>
      <c r="C33" s="275" t="n"/>
      <c r="D33" s="275" t="n"/>
      <c r="E33" s="275" t="n"/>
      <c r="F33" s="122" t="n"/>
      <c r="G33" s="275" t="n"/>
      <c r="H33" s="275" t="n"/>
      <c r="I33" s="275" t="n"/>
      <c r="J33" s="295" t="n"/>
      <c r="K33" s="295" t="n"/>
      <c r="L33" s="295" t="n"/>
    </row>
    <row r="34">
      <c r="A34" s="274" t="n"/>
      <c r="B34" s="274" t="n"/>
      <c r="C34" s="275" t="n"/>
      <c r="D34" s="275" t="n"/>
      <c r="E34" s="275" t="n"/>
      <c r="F34" s="122" t="n"/>
      <c r="G34" s="275" t="n"/>
      <c r="H34" s="275" t="n"/>
      <c r="I34" s="275" t="n"/>
      <c r="J34" s="295" t="n"/>
      <c r="K34" s="295" t="n"/>
      <c r="L34" s="295" t="n"/>
    </row>
    <row r="35">
      <c r="A35" s="108" t="n"/>
      <c r="B35" s="108" t="n"/>
      <c r="C35" s="109" t="n"/>
      <c r="D35" s="109" t="n"/>
      <c r="E35" s="109" t="n"/>
      <c r="F35" s="122" t="n"/>
      <c r="G35" s="109" t="n"/>
      <c r="H35" s="109" t="n"/>
      <c r="I35" s="109" t="n"/>
      <c r="J35" s="121" t="n"/>
      <c r="K35" s="121" t="n"/>
      <c r="L35" s="121" t="n"/>
    </row>
    <row r="36">
      <c r="A36" s="108" t="n"/>
      <c r="B36" s="108" t="n"/>
      <c r="C36" s="109" t="n"/>
      <c r="D36" s="109" t="n"/>
      <c r="E36" s="109" t="n"/>
      <c r="F36" s="123" t="n"/>
      <c r="G36" s="109" t="n"/>
      <c r="H36" s="109" t="n"/>
      <c r="I36" s="109" t="n"/>
      <c r="J36" s="121" t="n"/>
      <c r="K36" s="121" t="n"/>
      <c r="L36" s="121" t="n"/>
    </row>
    <row r="37">
      <c r="A37" s="108" t="n"/>
      <c r="B37" s="108" t="n"/>
      <c r="C37" s="109" t="n"/>
      <c r="D37" s="109" t="n"/>
      <c r="E37" s="109" t="n"/>
      <c r="F37" s="122" t="n"/>
      <c r="G37" s="109" t="n"/>
      <c r="H37" s="109" t="n"/>
      <c r="I37" s="109" t="n"/>
      <c r="J37" s="121" t="n"/>
      <c r="K37" s="121" t="n"/>
      <c r="L37" s="121" t="n"/>
    </row>
    <row r="38">
      <c r="A38" s="108" t="n"/>
      <c r="B38" s="108" t="n"/>
      <c r="C38" s="109" t="n"/>
      <c r="D38" s="109" t="n"/>
      <c r="E38" s="109" t="n"/>
      <c r="F38" s="122" t="n"/>
      <c r="G38" s="109" t="n"/>
      <c r="H38" s="109" t="n"/>
      <c r="I38" s="109" t="n"/>
      <c r="J38" s="121" t="n"/>
      <c r="K38" s="121" t="n"/>
      <c r="L38" s="121" t="n"/>
    </row>
    <row r="39">
      <c r="A39" s="108" t="n"/>
      <c r="B39" s="108" t="n"/>
      <c r="C39" s="109" t="n"/>
      <c r="D39" s="109" t="n"/>
      <c r="E39" s="109" t="n"/>
      <c r="F39" s="122" t="n"/>
      <c r="G39" s="109" t="n"/>
      <c r="H39" s="109" t="n"/>
      <c r="I39" s="109" t="n"/>
      <c r="J39" s="121" t="n"/>
      <c r="K39" s="121" t="n"/>
      <c r="L39" s="121" t="n"/>
    </row>
    <row r="40">
      <c r="A40" s="108" t="n"/>
      <c r="B40" s="108" t="n"/>
      <c r="C40" s="109" t="n"/>
      <c r="D40" s="109" t="n"/>
      <c r="E40" s="109" t="n"/>
      <c r="F40" s="122" t="n"/>
      <c r="G40" s="109" t="n"/>
      <c r="H40" s="109" t="n"/>
      <c r="I40" s="109" t="n"/>
      <c r="J40" s="121" t="n"/>
      <c r="K40" s="121" t="n"/>
      <c r="L40" s="121" t="n"/>
    </row>
    <row r="41">
      <c r="A41" s="108" t="n"/>
      <c r="B41" s="108" t="n"/>
      <c r="C41" s="109" t="n"/>
      <c r="D41" s="109" t="n"/>
      <c r="E41" s="109" t="n"/>
      <c r="F41" s="122" t="n"/>
      <c r="G41" s="109" t="n"/>
      <c r="H41" s="109" t="n"/>
      <c r="I41" s="109" t="n"/>
      <c r="J41" s="110" t="n"/>
      <c r="K41" s="110" t="n"/>
      <c r="L41" s="110" t="n"/>
    </row>
    <row r="42">
      <c r="A42" s="271" t="n"/>
      <c r="B42" s="274" t="n"/>
      <c r="C42" s="275" t="n"/>
      <c r="D42" s="275" t="n"/>
      <c r="E42" s="275" t="n"/>
      <c r="F42" s="122" t="n"/>
      <c r="G42" s="275" t="n"/>
      <c r="H42" s="275" t="n"/>
      <c r="I42" s="275" t="n"/>
      <c r="J42" s="276" t="n"/>
      <c r="K42" s="276" t="n"/>
      <c r="L42" s="276" t="n"/>
    </row>
    <row r="43">
      <c r="A43" s="108" t="n"/>
      <c r="B43" s="108" t="n"/>
      <c r="C43" s="109" t="n"/>
      <c r="D43" s="109" t="n"/>
      <c r="E43" s="109" t="n"/>
      <c r="F43" s="122" t="n"/>
      <c r="G43" s="109" t="n"/>
      <c r="H43" s="109" t="n"/>
      <c r="I43" s="109" t="n"/>
      <c r="J43" s="110" t="n"/>
      <c r="K43" s="110" t="n"/>
      <c r="L43" s="110" t="n"/>
    </row>
    <row r="44">
      <c r="A44" s="108" t="n"/>
      <c r="B44" s="108" t="n"/>
      <c r="C44" s="109" t="n"/>
      <c r="D44" s="109" t="n"/>
      <c r="E44" s="109" t="n"/>
      <c r="F44" s="122" t="n"/>
      <c r="G44" s="109" t="n"/>
      <c r="H44" s="109" t="n"/>
      <c r="I44" s="109" t="n"/>
      <c r="J44" s="110" t="n"/>
      <c r="K44" s="110" t="n"/>
      <c r="L44" s="110" t="n"/>
    </row>
    <row r="45">
      <c r="A45" s="108" t="n"/>
      <c r="B45" s="108" t="n"/>
      <c r="C45" s="109" t="n"/>
      <c r="D45" s="109" t="n"/>
      <c r="E45" s="109" t="n"/>
      <c r="F45" s="122" t="n"/>
      <c r="G45" s="109" t="n"/>
      <c r="H45" s="109" t="n"/>
      <c r="I45" s="109" t="n"/>
      <c r="J45" s="110" t="n"/>
      <c r="K45" s="110" t="n"/>
      <c r="L45" s="110" t="n"/>
    </row>
    <row r="46">
      <c r="A46" s="108" t="n"/>
      <c r="B46" s="108" t="n"/>
      <c r="C46" s="109" t="n"/>
      <c r="D46" s="109" t="n"/>
      <c r="E46" s="109" t="n"/>
      <c r="F46" s="122" t="n"/>
      <c r="G46" s="109" t="n"/>
      <c r="H46" s="109" t="n"/>
      <c r="I46" s="109" t="n"/>
      <c r="J46" s="110" t="n"/>
      <c r="K46" s="110" t="n"/>
      <c r="L46" s="110" t="n"/>
    </row>
    <row r="47">
      <c r="A47" s="108" t="n"/>
      <c r="B47" s="108" t="n"/>
      <c r="C47" s="109" t="n"/>
      <c r="D47" s="109" t="n"/>
      <c r="E47" s="109" t="n"/>
      <c r="F47" s="123" t="n"/>
      <c r="G47" s="109" t="n"/>
      <c r="H47" s="109" t="n"/>
      <c r="I47" s="109" t="n"/>
      <c r="J47" s="110" t="n"/>
      <c r="K47" s="110" t="n"/>
      <c r="L47" s="110" t="n"/>
    </row>
    <row r="48">
      <c r="A48" s="108" t="n"/>
      <c r="B48" s="108" t="n"/>
      <c r="C48" s="109" t="n"/>
      <c r="D48" s="109" t="n"/>
      <c r="E48" s="109" t="n"/>
      <c r="F48" s="122" t="n"/>
      <c r="G48" s="109" t="n"/>
      <c r="H48" s="109" t="n"/>
      <c r="I48" s="109" t="n"/>
      <c r="J48" s="110" t="n"/>
      <c r="K48" s="110" t="n"/>
      <c r="L48" s="110" t="n"/>
    </row>
    <row r="49">
      <c r="A49" s="108" t="n"/>
      <c r="B49" s="108" t="n"/>
      <c r="C49" s="109" t="n"/>
      <c r="D49" s="109" t="n"/>
      <c r="E49" s="109" t="n"/>
      <c r="F49" s="122" t="n"/>
      <c r="G49" s="109" t="n"/>
      <c r="H49" s="109" t="n"/>
      <c r="I49" s="109" t="n"/>
      <c r="J49" s="110" t="n"/>
      <c r="K49" s="110" t="n"/>
      <c r="L49" s="110" t="n"/>
    </row>
    <row r="50">
      <c r="A50" s="108" t="n"/>
      <c r="B50" s="108" t="n"/>
      <c r="C50" s="109" t="n"/>
      <c r="D50" s="109" t="n"/>
      <c r="E50" s="109" t="n"/>
      <c r="F50" s="122" t="n"/>
      <c r="G50" s="109" t="n"/>
      <c r="H50" s="109" t="n"/>
      <c r="I50" s="109" t="n"/>
      <c r="J50" s="110" t="n"/>
      <c r="K50" s="110" t="n"/>
      <c r="L50" s="110" t="n"/>
    </row>
    <row r="51">
      <c r="A51" s="108" t="n"/>
      <c r="B51" s="108" t="n"/>
      <c r="C51" s="109" t="n"/>
      <c r="D51" s="109" t="n"/>
      <c r="E51" s="109" t="n"/>
      <c r="F51" s="122" t="n"/>
      <c r="G51" s="109" t="n"/>
      <c r="H51" s="109" t="n"/>
      <c r="I51" s="109" t="n"/>
      <c r="J51" s="110" t="n"/>
      <c r="K51" s="110" t="n"/>
      <c r="L51" s="110" t="n"/>
    </row>
    <row r="52">
      <c r="A52" s="108" t="n"/>
      <c r="B52" s="108" t="n"/>
      <c r="C52" s="109" t="n"/>
      <c r="D52" s="109" t="n"/>
      <c r="E52" s="109" t="n"/>
      <c r="F52" s="122" t="n"/>
      <c r="G52" s="109" t="n"/>
      <c r="H52" s="109" t="n"/>
      <c r="I52" s="109" t="n"/>
      <c r="J52" s="110" t="n"/>
      <c r="K52" s="110" t="n"/>
      <c r="L52" s="110" t="n"/>
    </row>
    <row r="53">
      <c r="A53" s="108" t="n"/>
      <c r="B53" s="108" t="n"/>
      <c r="C53" s="109" t="n"/>
      <c r="D53" s="109" t="n"/>
      <c r="E53" s="109" t="n"/>
      <c r="F53" s="122" t="n"/>
      <c r="G53" s="109" t="n"/>
      <c r="H53" s="109" t="n"/>
      <c r="I53" s="109" t="n"/>
      <c r="J53" s="110" t="n"/>
      <c r="K53" s="110" t="n"/>
      <c r="L53" s="110" t="n"/>
    </row>
    <row r="54">
      <c r="A54" s="108" t="n"/>
      <c r="B54" s="108" t="n"/>
      <c r="C54" s="109" t="n"/>
      <c r="D54" s="109" t="n"/>
      <c r="E54" s="109" t="n"/>
      <c r="F54" s="123" t="n"/>
      <c r="G54" s="109" t="n"/>
      <c r="H54" s="109" t="n"/>
      <c r="I54" s="109" t="n"/>
      <c r="J54" s="110" t="n"/>
      <c r="K54" s="110" t="n"/>
      <c r="L54" s="110" t="n"/>
    </row>
    <row r="55">
      <c r="A55" s="108" t="n"/>
      <c r="B55" s="108" t="n"/>
      <c r="C55" s="109" t="n"/>
      <c r="D55" s="109" t="n"/>
      <c r="E55" s="109" t="n"/>
      <c r="F55" s="123" t="n"/>
      <c r="G55" s="109" t="n"/>
      <c r="H55" s="109" t="n"/>
      <c r="I55" s="109" t="n"/>
      <c r="J55" s="110" t="n"/>
      <c r="K55" s="110" t="n"/>
      <c r="L55" s="110" t="n"/>
    </row>
    <row r="56">
      <c r="A56" s="108" t="n"/>
      <c r="B56" s="108" t="n"/>
      <c r="C56" s="109" t="n"/>
      <c r="D56" s="109" t="n"/>
      <c r="E56" s="109" t="n"/>
      <c r="F56" s="122" t="n"/>
      <c r="G56" s="109" t="n"/>
      <c r="H56" s="109" t="n"/>
      <c r="I56" s="109" t="n"/>
      <c r="J56" s="110" t="n"/>
      <c r="K56" s="110" t="n"/>
      <c r="L56" s="110" t="n"/>
    </row>
    <row r="57">
      <c r="A57" s="108" t="n"/>
      <c r="B57" s="108" t="n"/>
      <c r="C57" s="109" t="n"/>
      <c r="D57" s="109" t="n"/>
      <c r="E57" s="109" t="n"/>
      <c r="F57" s="123" t="n"/>
      <c r="G57" s="109" t="n"/>
      <c r="H57" s="109" t="n"/>
      <c r="I57" s="109" t="n"/>
      <c r="J57" s="110" t="n"/>
      <c r="K57" s="110" t="n"/>
      <c r="L57" s="110" t="n"/>
    </row>
    <row r="58">
      <c r="A58" s="108" t="n"/>
      <c r="B58" s="108" t="n"/>
      <c r="C58" s="109" t="n"/>
      <c r="D58" s="109" t="n"/>
      <c r="E58" s="109" t="n"/>
      <c r="F58" s="122" t="n"/>
      <c r="G58" s="109" t="n"/>
      <c r="H58" s="109" t="n"/>
      <c r="I58" s="109" t="n"/>
      <c r="J58" s="110" t="n"/>
      <c r="K58" s="110" t="n"/>
      <c r="L58" s="110" t="n"/>
    </row>
    <row r="59">
      <c r="A59" s="108" t="n"/>
      <c r="B59" s="108" t="n"/>
      <c r="C59" s="109" t="n"/>
      <c r="D59" s="109" t="n"/>
      <c r="E59" s="109" t="n"/>
      <c r="F59" s="122" t="n"/>
      <c r="G59" s="109" t="n"/>
      <c r="H59" s="109" t="n"/>
      <c r="I59" s="109" t="n"/>
      <c r="J59" s="110" t="n"/>
      <c r="K59" s="110" t="n"/>
      <c r="L59" s="110" t="n"/>
    </row>
    <row r="60">
      <c r="A60" s="108" t="n"/>
      <c r="B60" s="108" t="n"/>
      <c r="C60" s="109" t="n"/>
      <c r="D60" s="109" t="n"/>
      <c r="E60" s="109" t="n"/>
      <c r="F60" s="123" t="n"/>
      <c r="G60" s="109" t="n"/>
      <c r="H60" s="109" t="n"/>
      <c r="I60" s="109" t="n"/>
      <c r="J60" s="110" t="n"/>
      <c r="K60" s="110" t="n"/>
      <c r="L60" s="110" t="n"/>
    </row>
    <row r="61">
      <c r="A61" s="274" t="n"/>
      <c r="B61" s="274" t="n"/>
      <c r="C61" s="275" t="n"/>
      <c r="D61" s="275" t="n"/>
      <c r="E61" s="275" t="n"/>
      <c r="F61" s="123" t="n"/>
      <c r="G61" s="275" t="n"/>
      <c r="H61" s="275" t="n"/>
      <c r="I61" s="275" t="n"/>
      <c r="J61" s="276" t="n"/>
      <c r="K61" s="276" t="n"/>
      <c r="L61" s="276" t="n"/>
    </row>
    <row r="62">
      <c r="A62" s="274" t="n"/>
      <c r="B62" s="274" t="n"/>
      <c r="C62" s="275" t="n"/>
      <c r="D62" s="275" t="n"/>
      <c r="E62" s="275" t="n"/>
      <c r="F62" s="123" t="n"/>
      <c r="G62" s="275" t="n"/>
      <c r="H62" s="275" t="n"/>
      <c r="I62" s="275" t="n"/>
      <c r="J62" s="276" t="n"/>
      <c r="K62" s="276" t="n"/>
      <c r="L62" s="276" t="n"/>
    </row>
    <row r="63">
      <c r="A63" s="274" t="n"/>
      <c r="B63" s="274" t="n"/>
      <c r="C63" s="275" t="n"/>
      <c r="D63" s="275" t="n"/>
      <c r="E63" s="275" t="n"/>
      <c r="F63" s="123" t="n"/>
      <c r="G63" s="275" t="n"/>
      <c r="H63" s="275" t="n"/>
      <c r="I63" s="275" t="n"/>
      <c r="J63" s="276" t="n"/>
      <c r="K63" s="276" t="n"/>
      <c r="L63" s="276" t="n"/>
    </row>
    <row r="64">
      <c r="A64" s="274" t="n"/>
      <c r="B64" s="274" t="n"/>
      <c r="C64" s="275" t="n"/>
      <c r="D64" s="275" t="n"/>
      <c r="E64" s="275" t="n"/>
      <c r="F64" s="123" t="n"/>
      <c r="G64" s="275" t="n"/>
      <c r="H64" s="275" t="n"/>
      <c r="I64" s="275" t="n"/>
      <c r="J64" s="276" t="n"/>
      <c r="K64" s="276" t="n"/>
      <c r="L64" s="276" t="n"/>
    </row>
    <row r="65">
      <c r="A65" s="108" t="n"/>
      <c r="B65" s="108" t="n"/>
      <c r="C65" s="109" t="n"/>
      <c r="D65" s="109" t="n"/>
      <c r="E65" s="109" t="n"/>
      <c r="F65" s="123" t="n"/>
      <c r="G65" s="109" t="n"/>
      <c r="H65" s="109" t="n"/>
      <c r="I65" s="109" t="n"/>
      <c r="J65" s="110" t="n"/>
      <c r="K65" s="110" t="n"/>
      <c r="L65" s="110" t="n"/>
    </row>
    <row r="66">
      <c r="A66" s="108" t="n"/>
      <c r="B66" s="108" t="n"/>
      <c r="C66" s="109" t="n"/>
      <c r="D66" s="109" t="n"/>
      <c r="E66" s="109" t="n"/>
      <c r="F66" s="123" t="n"/>
      <c r="G66" s="109" t="n"/>
      <c r="H66" s="109" t="n"/>
      <c r="I66" s="109" t="n"/>
      <c r="J66" s="110" t="n"/>
      <c r="K66" s="110" t="n"/>
      <c r="L66" s="110" t="n"/>
    </row>
    <row r="67">
      <c r="A67" s="108" t="n"/>
      <c r="B67" s="108" t="n"/>
      <c r="C67" s="109" t="n"/>
      <c r="D67" s="109" t="n"/>
      <c r="E67" s="109" t="n"/>
      <c r="F67" s="123" t="n"/>
      <c r="G67" s="109" t="n"/>
      <c r="H67" s="109" t="n"/>
      <c r="I67" s="109" t="n"/>
      <c r="J67" s="110" t="n"/>
      <c r="K67" s="110" t="n"/>
      <c r="L67" s="110" t="n"/>
    </row>
    <row r="68">
      <c r="A68" s="108" t="n"/>
      <c r="B68" s="108" t="n"/>
      <c r="C68" s="109" t="n"/>
      <c r="D68" s="109" t="n"/>
      <c r="E68" s="109" t="n"/>
      <c r="F68" s="123" t="n"/>
      <c r="G68" s="109" t="n"/>
      <c r="H68" s="109" t="n"/>
      <c r="I68" s="109" t="n"/>
      <c r="J68" s="110" t="n"/>
      <c r="K68" s="110" t="n"/>
      <c r="L68" s="110" t="n"/>
    </row>
    <row r="69">
      <c r="A69" s="274" t="n"/>
      <c r="B69" s="274" t="n"/>
      <c r="C69" s="275" t="n"/>
      <c r="D69" s="275" t="n"/>
      <c r="E69" s="275" t="n"/>
      <c r="F69" s="123" t="n"/>
      <c r="G69" s="275" t="n"/>
      <c r="H69" s="275" t="n"/>
      <c r="I69" s="275" t="n"/>
      <c r="J69" s="276" t="n"/>
      <c r="K69" s="276" t="n"/>
      <c r="L69" s="276" t="n"/>
    </row>
    <row r="70">
      <c r="A70" s="274" t="n"/>
      <c r="B70" s="274" t="n"/>
      <c r="C70" s="275" t="n"/>
      <c r="D70" s="275" t="n"/>
      <c r="E70" s="275" t="n"/>
      <c r="F70" s="123" t="n"/>
      <c r="G70" s="275" t="n"/>
      <c r="H70" s="275" t="n"/>
      <c r="I70" s="275" t="n"/>
      <c r="J70" s="276" t="n"/>
      <c r="K70" s="276" t="n"/>
      <c r="L70" s="276" t="n"/>
    </row>
    <row r="71">
      <c r="A71" s="108" t="n"/>
      <c r="B71" s="108" t="n"/>
      <c r="C71" s="109" t="n"/>
      <c r="D71" s="109" t="n"/>
      <c r="E71" s="109" t="n"/>
      <c r="F71" s="123" t="n"/>
      <c r="G71" s="109" t="n"/>
      <c r="H71" s="109" t="n"/>
      <c r="I71" s="109" t="n"/>
      <c r="J71" s="110" t="n"/>
      <c r="K71" s="110" t="n"/>
      <c r="L71" s="110" t="n"/>
    </row>
    <row r="72">
      <c r="A72" s="108" t="n"/>
      <c r="B72" s="108" t="n"/>
      <c r="C72" s="109" t="n"/>
      <c r="D72" s="109" t="n"/>
      <c r="E72" s="109" t="n"/>
      <c r="F72" s="123" t="n"/>
      <c r="G72" s="109" t="n"/>
      <c r="H72" s="109" t="n"/>
      <c r="I72" s="109" t="n"/>
      <c r="J72" s="110" t="n"/>
      <c r="K72" s="110" t="n"/>
      <c r="L72" s="110" t="n"/>
    </row>
    <row r="73">
      <c r="A73" s="108" t="n"/>
      <c r="B73" s="108" t="n"/>
      <c r="C73" s="109" t="n"/>
      <c r="D73" s="109" t="n"/>
      <c r="E73" s="109" t="n"/>
      <c r="F73" s="123" t="n"/>
      <c r="G73" s="109" t="n"/>
      <c r="H73" s="109" t="n"/>
      <c r="I73" s="109" t="n"/>
      <c r="J73" s="110" t="n"/>
      <c r="K73" s="110" t="n"/>
      <c r="L73" s="110" t="n"/>
    </row>
    <row r="74">
      <c r="A74" s="108" t="n"/>
      <c r="B74" s="108" t="n"/>
      <c r="C74" s="109" t="n"/>
      <c r="D74" s="109" t="n"/>
      <c r="E74" s="109" t="n"/>
      <c r="F74" s="122" t="n"/>
      <c r="G74" s="109" t="n"/>
      <c r="H74" s="109" t="n"/>
      <c r="I74" s="109" t="n"/>
      <c r="J74" s="110" t="n"/>
      <c r="K74" s="110" t="n"/>
      <c r="L74" s="110" t="n"/>
    </row>
    <row r="75">
      <c r="A75" s="274" t="n"/>
      <c r="B75" s="274" t="n"/>
      <c r="C75" s="275" t="n"/>
      <c r="D75" s="275" t="n"/>
      <c r="E75" s="275" t="n"/>
      <c r="F75" s="122" t="n"/>
      <c r="G75" s="275" t="n"/>
      <c r="H75" s="275" t="n"/>
      <c r="I75" s="275" t="n"/>
      <c r="J75" s="276" t="n"/>
      <c r="K75" s="276" t="n"/>
      <c r="L75" s="276" t="n"/>
    </row>
    <row r="76">
      <c r="A76" s="274" t="n"/>
      <c r="B76" s="274" t="n"/>
      <c r="C76" s="275" t="n"/>
      <c r="D76" s="275" t="n"/>
      <c r="E76" s="275" t="n"/>
      <c r="F76" s="122" t="n"/>
      <c r="G76" s="275" t="n"/>
      <c r="H76" s="275" t="n"/>
      <c r="I76" s="275" t="n"/>
      <c r="J76" s="276" t="n"/>
      <c r="K76" s="276" t="n"/>
      <c r="L76" s="276" t="n"/>
    </row>
    <row r="77">
      <c r="A77" s="274" t="n"/>
      <c r="B77" s="274" t="n"/>
      <c r="C77" s="275" t="n"/>
      <c r="D77" s="275" t="n"/>
      <c r="E77" s="275" t="n"/>
      <c r="F77" s="122" t="n"/>
      <c r="G77" s="275" t="n"/>
      <c r="H77" s="275" t="n"/>
      <c r="I77" s="275" t="n"/>
      <c r="J77" s="276" t="n"/>
      <c r="K77" s="276" t="n"/>
      <c r="L77" s="276" t="n"/>
    </row>
    <row r="78">
      <c r="A78" s="108" t="n"/>
      <c r="B78" s="108" t="n"/>
      <c r="C78" s="109" t="n"/>
      <c r="D78" s="109" t="n"/>
      <c r="E78" s="109" t="n"/>
      <c r="F78" s="122" t="n"/>
      <c r="G78" s="109" t="n"/>
      <c r="H78" s="109" t="n"/>
      <c r="I78" s="109" t="n"/>
      <c r="J78" s="110" t="n"/>
      <c r="K78" s="110" t="n"/>
      <c r="L78" s="110" t="n"/>
    </row>
    <row r="79">
      <c r="A79" s="108" t="n"/>
      <c r="B79" s="108" t="n"/>
      <c r="C79" s="109" t="n"/>
      <c r="D79" s="109" t="n"/>
      <c r="E79" s="109" t="n"/>
      <c r="F79" s="122" t="n"/>
      <c r="G79" s="109" t="n"/>
      <c r="H79" s="109" t="n"/>
      <c r="I79" s="109" t="n"/>
      <c r="J79" s="110" t="n"/>
      <c r="K79" s="110" t="n"/>
      <c r="L79" s="110" t="n"/>
    </row>
    <row r="80">
      <c r="A80" s="108" t="n"/>
      <c r="B80" s="108" t="n"/>
      <c r="C80" s="109" t="n"/>
      <c r="D80" s="109" t="n"/>
      <c r="E80" s="109" t="n"/>
      <c r="F80" s="122" t="n"/>
      <c r="G80" s="109" t="n"/>
      <c r="H80" s="109" t="n"/>
      <c r="I80" s="109" t="n"/>
      <c r="J80" s="110" t="n"/>
      <c r="K80" s="110" t="n"/>
      <c r="L80" s="110" t="n"/>
    </row>
    <row r="81">
      <c r="A81" s="108" t="n"/>
      <c r="B81" s="108" t="n"/>
      <c r="C81" s="109" t="n"/>
      <c r="D81" s="109" t="n"/>
      <c r="E81" s="109" t="n"/>
      <c r="F81" s="122" t="n"/>
      <c r="G81" s="109" t="n"/>
      <c r="H81" s="109" t="n"/>
      <c r="I81" s="109" t="n"/>
      <c r="J81" s="110" t="n"/>
      <c r="K81" s="110" t="n"/>
      <c r="L81" s="110" t="n"/>
    </row>
    <row r="82">
      <c r="A82" s="274" t="n"/>
      <c r="B82" s="274" t="n"/>
      <c r="C82" s="275" t="n"/>
      <c r="D82" s="275" t="n"/>
      <c r="E82" s="275" t="n"/>
      <c r="F82" s="122" t="n"/>
      <c r="G82" s="275" t="n"/>
      <c r="H82" s="275" t="n"/>
      <c r="I82" s="275" t="n"/>
      <c r="J82" s="276" t="n"/>
      <c r="K82" s="276" t="n"/>
      <c r="L82" s="276" t="n"/>
    </row>
    <row r="83">
      <c r="A83" s="274" t="n"/>
      <c r="B83" s="274" t="n"/>
      <c r="C83" s="275" t="n"/>
      <c r="D83" s="275" t="n"/>
      <c r="E83" s="275" t="n"/>
      <c r="F83" s="122" t="n"/>
      <c r="G83" s="275" t="n"/>
      <c r="H83" s="275" t="n"/>
      <c r="I83" s="275" t="n"/>
      <c r="J83" s="276" t="n"/>
      <c r="K83" s="276" t="n"/>
      <c r="L83" s="276" t="n"/>
    </row>
    <row r="84">
      <c r="A84" s="274" t="n"/>
      <c r="B84" s="274" t="n"/>
      <c r="C84" s="275" t="n"/>
      <c r="D84" s="275" t="n"/>
      <c r="E84" s="275" t="n"/>
      <c r="F84" s="122" t="n"/>
      <c r="G84" s="275" t="n"/>
      <c r="H84" s="275" t="n"/>
      <c r="I84" s="275" t="n"/>
      <c r="J84" s="276" t="n"/>
      <c r="K84" s="276" t="n"/>
      <c r="L84" s="276" t="n"/>
    </row>
    <row r="85">
      <c r="A85" s="274" t="n"/>
      <c r="B85" s="274" t="n"/>
      <c r="C85" s="275" t="n"/>
      <c r="D85" s="275" t="n"/>
      <c r="E85" s="275" t="n"/>
      <c r="F85" s="122" t="n"/>
      <c r="G85" s="275" t="n"/>
      <c r="H85" s="275" t="n"/>
      <c r="I85" s="275" t="n"/>
      <c r="J85" s="276" t="n"/>
      <c r="K85" s="276" t="n"/>
      <c r="L85" s="276" t="n"/>
    </row>
    <row r="86">
      <c r="A86" s="274" t="n"/>
      <c r="B86" s="274" t="n"/>
      <c r="C86" s="275" t="n"/>
      <c r="D86" s="275" t="n"/>
      <c r="E86" s="275" t="n"/>
      <c r="F86" s="122" t="n"/>
      <c r="G86" s="275" t="n"/>
      <c r="H86" s="275" t="n"/>
      <c r="I86" s="275" t="n"/>
      <c r="J86" s="276" t="n"/>
      <c r="K86" s="276" t="n"/>
      <c r="L86" s="276" t="n"/>
    </row>
    <row r="87">
      <c r="A87" s="274" t="n"/>
      <c r="B87" s="274" t="n"/>
      <c r="C87" s="275" t="n"/>
      <c r="D87" s="275" t="n"/>
      <c r="E87" s="275" t="n"/>
      <c r="F87" s="122" t="n"/>
      <c r="G87" s="275" t="n"/>
      <c r="H87" s="275" t="n"/>
      <c r="I87" s="275" t="n"/>
      <c r="J87" s="276" t="n"/>
      <c r="K87" s="276" t="n"/>
      <c r="L87" s="276" t="n"/>
    </row>
    <row r="88">
      <c r="A88" s="108" t="n"/>
      <c r="B88" s="108" t="n"/>
      <c r="C88" s="109" t="n"/>
      <c r="D88" s="109" t="n"/>
      <c r="E88" s="109" t="n"/>
      <c r="F88" s="122" t="n"/>
      <c r="G88" s="109" t="n"/>
      <c r="H88" s="109" t="n"/>
      <c r="I88" s="109" t="n"/>
      <c r="J88" s="110" t="n"/>
      <c r="K88" s="110" t="n"/>
      <c r="L88" s="110" t="n"/>
    </row>
    <row r="89">
      <c r="A89" s="108" t="n"/>
      <c r="B89" s="108" t="n"/>
      <c r="C89" s="109" t="n"/>
      <c r="D89" s="109" t="n"/>
      <c r="E89" s="109" t="n"/>
      <c r="F89" s="122" t="n"/>
      <c r="G89" s="109" t="n"/>
      <c r="H89" s="109" t="n"/>
      <c r="I89" s="109" t="n"/>
      <c r="J89" s="110" t="n"/>
      <c r="K89" s="110" t="n"/>
      <c r="L89" s="110" t="n"/>
    </row>
    <row r="90">
      <c r="A90" s="108" t="n"/>
      <c r="B90" s="108" t="n"/>
      <c r="C90" s="109" t="n"/>
      <c r="D90" s="109" t="n"/>
      <c r="E90" s="109" t="n"/>
      <c r="F90" s="122" t="n"/>
      <c r="G90" s="109" t="n"/>
      <c r="H90" s="109" t="n"/>
      <c r="I90" s="109" t="n"/>
      <c r="J90" s="110" t="n"/>
      <c r="K90" s="110" t="n"/>
      <c r="L90" s="110" t="n"/>
    </row>
    <row r="91">
      <c r="A91" s="274" t="n"/>
      <c r="B91" s="314" t="n"/>
      <c r="C91" s="275" t="n"/>
      <c r="D91" s="275" t="n"/>
      <c r="E91" s="275" t="n"/>
      <c r="F91" s="122" t="n"/>
      <c r="G91" s="275" t="n"/>
      <c r="H91" s="275" t="n"/>
      <c r="I91" s="275" t="n"/>
      <c r="J91" s="276" t="n"/>
      <c r="K91" s="276" t="n"/>
      <c r="L91" s="276" t="n"/>
    </row>
    <row r="92">
      <c r="A92" s="274" t="n"/>
      <c r="B92" s="314" t="n"/>
      <c r="C92" s="275" t="n"/>
      <c r="D92" s="275" t="n"/>
      <c r="E92" s="275" t="n"/>
      <c r="F92" s="122" t="n"/>
      <c r="G92" s="275" t="n"/>
      <c r="H92" s="275" t="n"/>
      <c r="I92" s="275" t="n"/>
      <c r="J92" s="276" t="n"/>
      <c r="K92" s="276" t="n"/>
      <c r="L92" s="276" t="n"/>
    </row>
    <row r="93">
      <c r="A93" s="274" t="n"/>
      <c r="B93" s="314" t="n"/>
      <c r="C93" s="275" t="n"/>
      <c r="D93" s="275" t="n"/>
      <c r="E93" s="275" t="n"/>
      <c r="F93" s="122" t="n"/>
      <c r="G93" s="275" t="n"/>
      <c r="H93" s="275" t="n"/>
      <c r="I93" s="275" t="n"/>
      <c r="J93" s="276" t="n"/>
      <c r="K93" s="276" t="n"/>
      <c r="L93" s="276" t="n"/>
    </row>
    <row r="94">
      <c r="A94" s="274" t="n"/>
      <c r="B94" s="314" t="n"/>
      <c r="C94" s="275" t="n"/>
      <c r="D94" s="275" t="n"/>
      <c r="E94" s="275" t="n"/>
      <c r="F94" s="122" t="n"/>
      <c r="G94" s="275" t="n"/>
      <c r="H94" s="275" t="n"/>
      <c r="I94" s="275" t="n"/>
      <c r="J94" s="276" t="n"/>
      <c r="K94" s="276" t="n"/>
      <c r="L94" s="276" t="n"/>
    </row>
    <row r="95">
      <c r="A95" s="108" t="n"/>
      <c r="B95" s="108" t="n"/>
      <c r="C95" s="109" t="n"/>
      <c r="D95" s="109" t="n"/>
      <c r="E95" s="109" t="n"/>
      <c r="F95" s="122" t="n"/>
      <c r="G95" s="109" t="n"/>
      <c r="H95" s="109" t="n"/>
      <c r="I95" s="109" t="n"/>
      <c r="J95" s="110" t="n"/>
      <c r="K95" s="110" t="n"/>
      <c r="L95" s="110" t="n"/>
    </row>
    <row r="96">
      <c r="A96" s="108" t="n"/>
      <c r="B96" s="108" t="n"/>
      <c r="C96" s="109" t="n"/>
      <c r="D96" s="109" t="n"/>
      <c r="E96" s="109" t="n"/>
      <c r="F96" s="122" t="n"/>
      <c r="G96" s="109" t="n"/>
      <c r="H96" s="109" t="n"/>
      <c r="I96" s="109" t="n"/>
      <c r="J96" s="110" t="n"/>
      <c r="K96" s="110" t="n"/>
      <c r="L96" s="110" t="n"/>
    </row>
    <row r="97">
      <c r="A97" s="108" t="n"/>
      <c r="B97" s="108" t="n"/>
      <c r="C97" s="109" t="n"/>
      <c r="D97" s="109" t="n"/>
      <c r="E97" s="109" t="n"/>
      <c r="F97" s="122" t="n"/>
      <c r="G97" s="109" t="n"/>
      <c r="H97" s="109" t="n"/>
      <c r="I97" s="109" t="n"/>
      <c r="J97" s="110" t="n"/>
      <c r="K97" s="110" t="n"/>
      <c r="L97" s="110" t="n"/>
    </row>
    <row r="98">
      <c r="A98" s="108" t="n"/>
      <c r="B98" s="108" t="n"/>
      <c r="C98" s="109" t="n"/>
      <c r="D98" s="109" t="n"/>
      <c r="E98" s="109" t="n"/>
      <c r="F98" s="122" t="n"/>
      <c r="G98" s="109" t="n"/>
      <c r="H98" s="109" t="n"/>
      <c r="I98" s="109" t="n"/>
      <c r="J98" s="110" t="n"/>
      <c r="K98" s="110" t="n"/>
      <c r="L98" s="110" t="n"/>
    </row>
    <row r="99">
      <c r="A99" s="108" t="n"/>
      <c r="B99" s="108" t="n"/>
      <c r="C99" s="109" t="n"/>
      <c r="D99" s="109" t="n"/>
      <c r="E99" s="109" t="n"/>
      <c r="F99" s="122" t="n"/>
      <c r="G99" s="109" t="n"/>
      <c r="H99" s="109" t="n"/>
      <c r="I99" s="109" t="n"/>
      <c r="J99" s="110" t="n"/>
      <c r="K99" s="110" t="n"/>
      <c r="L99" s="110" t="n"/>
    </row>
    <row r="100">
      <c r="A100" s="274" t="n"/>
      <c r="B100" s="274" t="n"/>
      <c r="C100" s="275" t="n"/>
      <c r="D100" s="275" t="n"/>
      <c r="E100" s="275" t="n"/>
      <c r="F100" s="122" t="n"/>
      <c r="G100" s="275" t="n"/>
      <c r="H100" s="275" t="n"/>
      <c r="I100" s="275" t="n"/>
      <c r="J100" s="276" t="n"/>
      <c r="K100" s="276" t="n"/>
      <c r="L100" s="276" t="n"/>
    </row>
    <row r="101">
      <c r="A101" s="274" t="n"/>
      <c r="B101" s="274" t="n"/>
      <c r="C101" s="275" t="n"/>
      <c r="D101" s="275" t="n"/>
      <c r="E101" s="275" t="n"/>
      <c r="F101" s="122" t="n"/>
      <c r="G101" s="275" t="n"/>
      <c r="H101" s="275" t="n"/>
      <c r="I101" s="275" t="n"/>
      <c r="J101" s="276" t="n"/>
      <c r="K101" s="276" t="n"/>
      <c r="L101" s="276" t="n"/>
    </row>
    <row r="102">
      <c r="A102" s="274" t="n"/>
      <c r="B102" s="274" t="n"/>
      <c r="C102" s="275" t="n"/>
      <c r="D102" s="275" t="n"/>
      <c r="E102" s="275" t="n"/>
      <c r="F102" s="122" t="n"/>
      <c r="G102" s="275" t="n"/>
      <c r="H102" s="275" t="n"/>
      <c r="I102" s="275" t="n"/>
      <c r="J102" s="276" t="n"/>
      <c r="K102" s="276" t="n"/>
      <c r="L102" s="276" t="n"/>
    </row>
    <row r="103">
      <c r="A103" s="274" t="n"/>
      <c r="B103" s="274" t="n"/>
      <c r="C103" s="275" t="n"/>
      <c r="D103" s="275" t="n"/>
      <c r="E103" s="275" t="n"/>
      <c r="F103" s="122" t="n"/>
      <c r="G103" s="275" t="n"/>
      <c r="H103" s="275" t="n"/>
      <c r="I103" s="275" t="n"/>
      <c r="J103" s="276" t="n"/>
      <c r="K103" s="276" t="n"/>
      <c r="L103" s="276" t="n"/>
    </row>
    <row r="104">
      <c r="A104" s="274" t="n"/>
      <c r="B104" s="274" t="n"/>
      <c r="C104" s="275" t="n"/>
      <c r="D104" s="275" t="n"/>
      <c r="E104" s="275" t="n"/>
      <c r="F104" s="122" t="n"/>
      <c r="G104" s="275" t="n"/>
      <c r="H104" s="275" t="n"/>
      <c r="I104" s="275" t="n"/>
      <c r="J104" s="276" t="n"/>
      <c r="K104" s="276" t="n"/>
      <c r="L104" s="276" t="n"/>
    </row>
    <row r="105">
      <c r="A105" s="274" t="n"/>
      <c r="B105" s="274" t="n"/>
      <c r="C105" s="275" t="n"/>
      <c r="D105" s="275" t="n"/>
      <c r="E105" s="275" t="n"/>
      <c r="F105" s="122" t="n"/>
      <c r="G105" s="275" t="n"/>
      <c r="H105" s="275" t="n"/>
      <c r="I105" s="275" t="n"/>
      <c r="J105" s="276" t="n"/>
      <c r="K105" s="276" t="n"/>
      <c r="L105" s="276" t="n"/>
    </row>
    <row r="106">
      <c r="A106" s="274" t="n"/>
      <c r="B106" s="274" t="n"/>
      <c r="C106" s="275" t="n"/>
      <c r="D106" s="275" t="n"/>
      <c r="E106" s="275" t="n"/>
      <c r="F106" s="122" t="n"/>
      <c r="G106" s="275" t="n"/>
      <c r="H106" s="275" t="n"/>
      <c r="I106" s="275" t="n"/>
      <c r="J106" s="276" t="n"/>
      <c r="K106" s="276" t="n"/>
      <c r="L106" s="276" t="n"/>
    </row>
    <row r="107">
      <c r="A107" s="274" t="n"/>
      <c r="B107" s="274" t="n"/>
      <c r="C107" s="275" t="n"/>
      <c r="D107" s="275" t="n"/>
      <c r="E107" s="275" t="n"/>
      <c r="F107" s="122" t="n"/>
      <c r="G107" s="275" t="n"/>
      <c r="H107" s="275" t="n"/>
      <c r="I107" s="275" t="n"/>
      <c r="J107" s="276" t="n"/>
      <c r="K107" s="276" t="n"/>
      <c r="L107" s="276" t="n"/>
    </row>
    <row r="108">
      <c r="A108" s="274" t="n"/>
      <c r="B108" s="274" t="n"/>
      <c r="C108" s="275" t="n"/>
      <c r="D108" s="275" t="n"/>
      <c r="E108" s="275" t="n"/>
      <c r="F108" s="122" t="n"/>
      <c r="G108" s="275" t="n"/>
      <c r="H108" s="275" t="n"/>
      <c r="I108" s="275" t="n"/>
      <c r="J108" s="276" t="n"/>
      <c r="K108" s="276" t="n"/>
      <c r="L108" s="276" t="n"/>
    </row>
    <row r="109">
      <c r="A109" s="274" t="n"/>
      <c r="B109" s="274" t="n"/>
      <c r="C109" s="275" t="n"/>
      <c r="D109" s="275" t="n"/>
      <c r="E109" s="275" t="n"/>
      <c r="F109" s="122" t="n"/>
      <c r="G109" s="275" t="n"/>
      <c r="H109" s="275" t="n"/>
      <c r="I109" s="275" t="n"/>
      <c r="J109" s="276" t="n"/>
      <c r="K109" s="276" t="n"/>
      <c r="L109" s="276" t="n"/>
    </row>
    <row r="110">
      <c r="A110" s="108" t="n"/>
      <c r="B110" s="108" t="n"/>
      <c r="C110" s="109" t="n"/>
      <c r="D110" s="109" t="n"/>
      <c r="E110" s="109" t="n"/>
      <c r="F110" s="122" t="n"/>
      <c r="G110" s="109" t="n"/>
      <c r="H110" s="109" t="n"/>
      <c r="I110" s="109" t="n"/>
      <c r="J110" s="110" t="n"/>
      <c r="K110" s="110" t="n"/>
      <c r="L110" s="110" t="n"/>
    </row>
    <row r="111">
      <c r="A111" s="108" t="n"/>
      <c r="B111" s="108" t="n"/>
      <c r="C111" s="109" t="n"/>
      <c r="D111" s="109" t="n"/>
      <c r="E111" s="109" t="n"/>
      <c r="F111" s="122" t="n"/>
      <c r="G111" s="109" t="n"/>
      <c r="H111" s="109" t="n"/>
      <c r="I111" s="109" t="n"/>
      <c r="J111" s="110" t="n"/>
      <c r="K111" s="110" t="n"/>
      <c r="L111" s="110" t="n"/>
    </row>
    <row r="112">
      <c r="A112" s="108" t="n"/>
      <c r="B112" s="108" t="n"/>
      <c r="C112" s="109" t="n"/>
      <c r="D112" s="109" t="n"/>
      <c r="E112" s="109" t="n"/>
      <c r="F112" s="122" t="n"/>
      <c r="G112" s="109" t="n"/>
      <c r="H112" s="109" t="n"/>
      <c r="I112" s="109" t="n"/>
      <c r="J112" s="110" t="n"/>
      <c r="K112" s="110" t="n"/>
      <c r="L112" s="110" t="n"/>
    </row>
    <row r="113">
      <c r="A113" s="108" t="n"/>
      <c r="B113" s="108" t="n"/>
      <c r="C113" s="109" t="n"/>
      <c r="D113" s="109" t="n"/>
      <c r="E113" s="109" t="n"/>
      <c r="F113" s="122" t="n"/>
      <c r="G113" s="109" t="n"/>
      <c r="H113" s="109" t="n"/>
      <c r="I113" s="109" t="n"/>
      <c r="J113" s="110" t="n"/>
      <c r="K113" s="110" t="n"/>
      <c r="L113" s="110" t="n"/>
    </row>
    <row r="114">
      <c r="A114" s="108" t="n"/>
      <c r="B114" s="108" t="n"/>
      <c r="C114" s="109" t="n"/>
      <c r="D114" s="109" t="n"/>
      <c r="E114" s="109" t="n"/>
      <c r="F114" s="122" t="n"/>
      <c r="G114" s="109" t="n"/>
      <c r="H114" s="109" t="n"/>
      <c r="I114" s="109" t="n"/>
      <c r="J114" s="110" t="n"/>
      <c r="K114" s="110" t="n"/>
      <c r="L114" s="110" t="n"/>
    </row>
    <row r="115">
      <c r="A115" s="108" t="n"/>
      <c r="B115" s="108" t="n"/>
      <c r="C115" s="109" t="n"/>
      <c r="D115" s="109" t="n"/>
      <c r="E115" s="109" t="n"/>
      <c r="F115" s="122" t="n"/>
      <c r="G115" s="109" t="n"/>
      <c r="H115" s="109" t="n"/>
      <c r="I115" s="109" t="n"/>
      <c r="J115" s="110" t="n"/>
      <c r="K115" s="110" t="n"/>
      <c r="L115" s="110" t="n"/>
    </row>
    <row r="116">
      <c r="A116" s="108" t="n"/>
      <c r="B116" s="108" t="n"/>
      <c r="C116" s="109" t="n"/>
      <c r="D116" s="109" t="n"/>
      <c r="E116" s="109" t="n"/>
      <c r="F116" s="122" t="n"/>
      <c r="G116" s="109" t="n"/>
      <c r="H116" s="109" t="n"/>
      <c r="I116" s="109" t="n"/>
      <c r="J116" s="110" t="n"/>
      <c r="K116" s="110" t="n"/>
      <c r="L116" s="110" t="n"/>
    </row>
    <row r="117">
      <c r="A117" s="108" t="n"/>
      <c r="B117" s="108" t="n"/>
      <c r="C117" s="109" t="n"/>
      <c r="D117" s="109" t="n"/>
      <c r="E117" s="109" t="n"/>
      <c r="F117" s="122" t="n"/>
      <c r="G117" s="109" t="n"/>
      <c r="H117" s="109" t="n"/>
      <c r="I117" s="109" t="n"/>
      <c r="J117" s="110" t="n"/>
      <c r="K117" s="110" t="n"/>
      <c r="L117" s="110" t="n"/>
    </row>
    <row r="118">
      <c r="A118" s="108" t="n"/>
      <c r="B118" s="108" t="n"/>
      <c r="C118" s="109" t="n"/>
      <c r="D118" s="109" t="n"/>
      <c r="E118" s="109" t="n"/>
      <c r="F118" s="122" t="n"/>
      <c r="G118" s="109" t="n"/>
      <c r="H118" s="109" t="n"/>
      <c r="I118" s="109" t="n"/>
      <c r="J118" s="110" t="n"/>
      <c r="K118" s="110" t="n"/>
      <c r="L118" s="110" t="n"/>
    </row>
    <row r="119">
      <c r="A119" s="108" t="n"/>
      <c r="B119" s="108" t="n"/>
      <c r="C119" s="109" t="n"/>
      <c r="D119" s="109" t="n"/>
      <c r="E119" s="109" t="n"/>
      <c r="F119" s="122" t="n"/>
      <c r="G119" s="109" t="n"/>
      <c r="H119" s="109" t="n"/>
      <c r="I119" s="109" t="n"/>
      <c r="J119" s="110" t="n"/>
      <c r="K119" s="110" t="n"/>
      <c r="L119" s="110" t="n"/>
    </row>
    <row r="120">
      <c r="A120" s="108" t="n"/>
      <c r="B120" s="108" t="n"/>
      <c r="C120" s="109" t="n"/>
      <c r="D120" s="109" t="n"/>
      <c r="E120" s="109" t="n"/>
      <c r="F120" s="122" t="n"/>
      <c r="G120" s="109" t="n"/>
      <c r="H120" s="109" t="n"/>
      <c r="I120" s="109" t="n"/>
      <c r="J120" s="110" t="n"/>
      <c r="K120" s="110" t="n"/>
      <c r="L120" s="110" t="n"/>
    </row>
    <row r="121">
      <c r="A121" s="108" t="n"/>
      <c r="B121" s="108" t="n"/>
      <c r="C121" s="109" t="n"/>
      <c r="D121" s="109" t="n"/>
      <c r="E121" s="109" t="n"/>
      <c r="F121" s="122" t="n"/>
      <c r="G121" s="109" t="n"/>
      <c r="H121" s="109" t="n"/>
      <c r="I121" s="109" t="n"/>
      <c r="J121" s="110" t="n"/>
      <c r="K121" s="110" t="n"/>
      <c r="L121" s="110" t="n"/>
    </row>
    <row r="122">
      <c r="A122" s="108" t="n"/>
      <c r="B122" s="108" t="n"/>
      <c r="C122" s="109" t="n"/>
      <c r="D122" s="109" t="n"/>
      <c r="E122" s="109" t="n"/>
      <c r="F122" s="122" t="n"/>
      <c r="G122" s="109" t="n"/>
      <c r="H122" s="109" t="n"/>
      <c r="I122" s="109" t="n"/>
      <c r="J122" s="110" t="n"/>
      <c r="K122" s="110" t="n"/>
      <c r="L122" s="110" t="n"/>
    </row>
    <row r="123">
      <c r="A123" s="108" t="n"/>
      <c r="B123" s="108" t="n"/>
      <c r="C123" s="109" t="n"/>
      <c r="D123" s="109" t="n"/>
      <c r="E123" s="109" t="n"/>
      <c r="F123" s="122" t="n"/>
      <c r="G123" s="109" t="n"/>
      <c r="H123" s="109" t="n"/>
      <c r="I123" s="109" t="n"/>
      <c r="J123" s="110" t="n"/>
      <c r="K123" s="110" t="n"/>
      <c r="L123" s="110" t="n"/>
    </row>
    <row r="124">
      <c r="A124" s="274" t="n"/>
      <c r="B124" s="274" t="n"/>
      <c r="C124" s="275" t="n"/>
      <c r="D124" s="275" t="n"/>
      <c r="E124" s="275" t="n"/>
      <c r="F124" s="122" t="n"/>
      <c r="G124" s="275" t="n"/>
      <c r="H124" s="275" t="n"/>
      <c r="I124" s="275" t="n"/>
      <c r="J124" s="276" t="n"/>
      <c r="K124" s="276" t="n"/>
      <c r="L124" s="276" t="n"/>
    </row>
    <row r="125">
      <c r="A125" s="274" t="n"/>
      <c r="B125" s="274" t="n"/>
      <c r="C125" s="275" t="n"/>
      <c r="D125" s="275" t="n"/>
      <c r="E125" s="275" t="n"/>
      <c r="F125" s="122" t="n"/>
      <c r="G125" s="275" t="n"/>
      <c r="H125" s="275" t="n"/>
      <c r="I125" s="275" t="n"/>
      <c r="J125" s="276" t="n"/>
      <c r="K125" s="276" t="n"/>
      <c r="L125" s="276" t="n"/>
    </row>
    <row r="126">
      <c r="A126" s="274" t="n"/>
      <c r="B126" s="274" t="n"/>
      <c r="C126" s="275" t="n"/>
      <c r="D126" s="275" t="n"/>
      <c r="E126" s="275" t="n"/>
      <c r="F126" s="122" t="n"/>
      <c r="G126" s="275" t="n"/>
      <c r="H126" s="275" t="n"/>
      <c r="I126" s="275" t="n"/>
      <c r="J126" s="276" t="n"/>
      <c r="K126" s="276" t="n"/>
      <c r="L126" s="276" t="n"/>
    </row>
    <row r="127">
      <c r="A127" s="274" t="n"/>
      <c r="B127" s="274" t="n"/>
      <c r="C127" s="275" t="n"/>
      <c r="D127" s="275" t="n"/>
      <c r="E127" s="275" t="n"/>
      <c r="F127" s="122" t="n"/>
      <c r="G127" s="275" t="n"/>
      <c r="H127" s="275" t="n"/>
      <c r="I127" s="275" t="n"/>
      <c r="J127" s="276" t="n"/>
      <c r="K127" s="276" t="n"/>
      <c r="L127" s="276" t="n"/>
    </row>
    <row r="128">
      <c r="A128" s="274" t="n"/>
      <c r="B128" s="274" t="n"/>
      <c r="C128" s="275" t="n"/>
      <c r="D128" s="275" t="n"/>
      <c r="E128" s="275" t="n"/>
      <c r="F128" s="122" t="n"/>
      <c r="G128" s="275" t="n"/>
      <c r="H128" s="275" t="n"/>
      <c r="I128" s="275" t="n"/>
      <c r="J128" s="276" t="n"/>
      <c r="K128" s="276" t="n"/>
      <c r="L128" s="276" t="n"/>
    </row>
    <row r="129">
      <c r="A129" s="274" t="n"/>
      <c r="B129" s="274" t="n"/>
      <c r="C129" s="275" t="n"/>
      <c r="D129" s="275" t="n"/>
      <c r="E129" s="275" t="n"/>
      <c r="F129" s="122" t="n"/>
      <c r="G129" s="275" t="n"/>
      <c r="H129" s="275" t="n"/>
      <c r="I129" s="275" t="n"/>
      <c r="J129" s="276" t="n"/>
      <c r="K129" s="276" t="n"/>
      <c r="L129" s="276" t="n"/>
    </row>
    <row r="130">
      <c r="A130" s="274" t="n"/>
      <c r="B130" s="274" t="n"/>
      <c r="C130" s="275" t="n"/>
      <c r="D130" s="275" t="n"/>
      <c r="E130" s="275" t="n"/>
      <c r="F130" s="122" t="n"/>
      <c r="G130" s="275" t="n"/>
      <c r="H130" s="275" t="n"/>
      <c r="I130" s="275" t="n"/>
      <c r="J130" s="276" t="n"/>
      <c r="K130" s="276" t="n"/>
      <c r="L130" s="276" t="n"/>
    </row>
    <row r="131">
      <c r="A131" s="274" t="n"/>
      <c r="B131" s="274" t="n"/>
      <c r="C131" s="275" t="n"/>
      <c r="D131" s="275" t="n"/>
      <c r="E131" s="275" t="n"/>
      <c r="F131" s="122" t="n"/>
      <c r="G131" s="275" t="n"/>
      <c r="H131" s="275" t="n"/>
      <c r="I131" s="275" t="n"/>
      <c r="J131" s="276" t="n"/>
      <c r="K131" s="276" t="n"/>
      <c r="L131" s="276" t="n"/>
    </row>
    <row r="132">
      <c r="A132" s="108" t="n"/>
      <c r="B132" s="108" t="n"/>
      <c r="C132" s="109" t="n"/>
      <c r="D132" s="109" t="n"/>
      <c r="E132" s="109" t="n"/>
      <c r="F132" s="122" t="n"/>
      <c r="G132" s="109" t="n"/>
      <c r="H132" s="109" t="n"/>
      <c r="I132" s="109" t="n"/>
      <c r="J132" s="110" t="n"/>
      <c r="K132" s="121" t="n"/>
      <c r="L132" s="121" t="n"/>
    </row>
    <row r="133">
      <c r="A133" s="108" t="n"/>
      <c r="B133" s="108" t="n"/>
      <c r="C133" s="109" t="n"/>
      <c r="D133" s="109" t="n"/>
      <c r="E133" s="109" t="n"/>
      <c r="F133" s="122" t="n"/>
      <c r="G133" s="109" t="n"/>
      <c r="H133" s="109" t="n"/>
      <c r="I133" s="109" t="n"/>
      <c r="J133" s="110" t="n"/>
      <c r="K133" s="121" t="n"/>
      <c r="L133" s="121" t="n"/>
    </row>
    <row r="134">
      <c r="A134" s="108" t="n"/>
      <c r="B134" s="108" t="n"/>
      <c r="C134" s="109" t="n"/>
      <c r="D134" s="109" t="n"/>
      <c r="E134" s="109" t="n"/>
      <c r="F134" s="122" t="n"/>
      <c r="G134" s="109" t="n"/>
      <c r="H134" s="109" t="n"/>
      <c r="I134" s="109" t="n"/>
      <c r="J134" s="110" t="n"/>
      <c r="K134" s="121" t="n"/>
      <c r="L134" s="121" t="n"/>
    </row>
    <row r="135">
      <c r="A135" s="108" t="n"/>
      <c r="B135" s="108" t="n"/>
      <c r="C135" s="109" t="n"/>
      <c r="D135" s="109" t="n"/>
      <c r="E135" s="109" t="n"/>
      <c r="F135" s="122" t="n"/>
      <c r="G135" s="109" t="n"/>
      <c r="H135" s="109" t="n"/>
      <c r="I135" s="109" t="n"/>
      <c r="J135" s="110" t="n"/>
      <c r="K135" s="121" t="n"/>
      <c r="L135" s="121" t="n"/>
    </row>
    <row r="136">
      <c r="A136" s="274" t="n"/>
      <c r="B136" s="274" t="n"/>
      <c r="C136" s="109" t="n"/>
      <c r="D136" s="109" t="n"/>
      <c r="E136" s="109" t="n"/>
      <c r="F136" s="122" t="n"/>
      <c r="G136" s="109" t="n"/>
      <c r="H136" s="109" t="n"/>
      <c r="I136" s="109" t="n"/>
      <c r="J136" s="110" t="n"/>
      <c r="K136" s="121" t="n"/>
      <c r="L136" s="121" t="n"/>
    </row>
    <row r="137">
      <c r="A137" s="108" t="n"/>
      <c r="B137" s="108" t="n"/>
      <c r="C137" s="109" t="n"/>
      <c r="D137" s="109" t="n"/>
      <c r="E137" s="109" t="n"/>
      <c r="F137" s="122" t="n"/>
      <c r="G137" s="109" t="n"/>
      <c r="H137" s="109" t="n"/>
      <c r="I137" s="109" t="n"/>
      <c r="J137" s="110" t="n"/>
      <c r="K137" s="121" t="n"/>
      <c r="L137" s="121" t="n"/>
    </row>
    <row r="138">
      <c r="A138" s="274" t="n"/>
      <c r="B138" s="274" t="n"/>
      <c r="C138" s="275" t="n"/>
      <c r="D138" s="275" t="n"/>
      <c r="E138" s="275" t="n"/>
      <c r="F138" s="122" t="n"/>
      <c r="G138" s="275" t="n"/>
      <c r="H138" s="275" t="n"/>
      <c r="I138" s="275" t="n"/>
      <c r="J138" s="276" t="n"/>
      <c r="K138" s="295" t="n"/>
      <c r="L138" s="295" t="n"/>
    </row>
    <row r="139">
      <c r="A139" s="274" t="n"/>
      <c r="B139" s="274" t="n"/>
      <c r="C139" s="275" t="n"/>
      <c r="D139" s="275" t="n"/>
      <c r="E139" s="275" t="n"/>
      <c r="F139" s="122" t="n"/>
      <c r="G139" s="275" t="n"/>
      <c r="H139" s="275" t="n"/>
      <c r="I139" s="275" t="n"/>
      <c r="J139" s="276" t="n"/>
      <c r="K139" s="295" t="n"/>
      <c r="L139" s="295" t="n"/>
    </row>
    <row r="140">
      <c r="A140" s="274" t="n"/>
      <c r="B140" s="274" t="n"/>
      <c r="C140" s="275" t="n"/>
      <c r="D140" s="275" t="n"/>
      <c r="E140" s="275" t="n"/>
      <c r="F140" s="122" t="n"/>
      <c r="G140" s="275" t="n"/>
      <c r="H140" s="275" t="n"/>
      <c r="I140" s="275" t="n"/>
      <c r="J140" s="276" t="n"/>
      <c r="K140" s="295" t="n"/>
      <c r="L140" s="295" t="n"/>
    </row>
    <row r="141">
      <c r="A141" s="274" t="n"/>
      <c r="B141" s="274" t="n"/>
      <c r="C141" s="275" t="n"/>
      <c r="D141" s="275" t="n"/>
      <c r="E141" s="275" t="n"/>
      <c r="F141" s="122" t="n"/>
      <c r="G141" s="275" t="n"/>
      <c r="H141" s="275" t="n"/>
      <c r="I141" s="275" t="n"/>
      <c r="J141" s="276" t="n"/>
      <c r="K141" s="295" t="n"/>
      <c r="L141" s="295" t="n"/>
    </row>
    <row r="142">
      <c r="A142" s="274" t="n"/>
      <c r="B142" s="274" t="n"/>
      <c r="C142" s="275" t="n"/>
      <c r="D142" s="275" t="n"/>
      <c r="E142" s="275" t="n"/>
      <c r="F142" s="122" t="n"/>
      <c r="G142" s="275" t="n"/>
      <c r="H142" s="275" t="n"/>
      <c r="I142" s="275" t="n"/>
      <c r="J142" s="276" t="n"/>
      <c r="K142" s="295" t="n"/>
      <c r="L142" s="295" t="n"/>
    </row>
    <row r="143">
      <c r="A143" s="274" t="n"/>
      <c r="B143" s="274" t="n"/>
      <c r="C143" s="275" t="n"/>
      <c r="D143" s="275" t="n"/>
      <c r="E143" s="275" t="n"/>
      <c r="F143" s="122" t="n"/>
      <c r="G143" s="275" t="n"/>
      <c r="H143" s="275" t="n"/>
      <c r="I143" s="275" t="n"/>
      <c r="J143" s="276" t="n"/>
      <c r="K143" s="295" t="n"/>
      <c r="L143" s="295" t="n"/>
    </row>
    <row r="144">
      <c r="A144" s="274" t="n"/>
      <c r="B144" s="274" t="n"/>
      <c r="C144" s="275" t="n"/>
      <c r="D144" s="275" t="n"/>
      <c r="E144" s="275" t="n"/>
      <c r="F144" s="122" t="n"/>
      <c r="G144" s="275" t="n"/>
      <c r="H144" s="275" t="n"/>
      <c r="I144" s="275" t="n"/>
      <c r="J144" s="276" t="n"/>
      <c r="K144" s="295" t="n"/>
      <c r="L144" s="295" t="n"/>
    </row>
    <row r="145">
      <c r="A145" s="274" t="n"/>
      <c r="B145" s="274" t="n"/>
      <c r="C145" s="275" t="n"/>
      <c r="D145" s="275" t="n"/>
      <c r="E145" s="275" t="n"/>
      <c r="F145" s="122" t="n"/>
      <c r="G145" s="275" t="n"/>
      <c r="H145" s="275" t="n"/>
      <c r="I145" s="275" t="n"/>
      <c r="J145" s="276" t="n"/>
      <c r="K145" s="295" t="n"/>
      <c r="L145" s="295" t="n"/>
    </row>
    <row r="146">
      <c r="A146" s="274" t="n"/>
      <c r="B146" s="274" t="n"/>
      <c r="C146" s="275" t="n"/>
      <c r="D146" s="275" t="n"/>
      <c r="E146" s="275" t="n"/>
      <c r="F146" s="122" t="n"/>
      <c r="G146" s="275" t="n"/>
      <c r="H146" s="275" t="n"/>
      <c r="I146" s="275" t="n"/>
      <c r="J146" s="276" t="n"/>
      <c r="K146" s="295" t="n"/>
      <c r="L146" s="295" t="n"/>
    </row>
    <row r="147">
      <c r="A147" s="274" t="n"/>
      <c r="B147" s="274" t="n"/>
      <c r="C147" s="275" t="n"/>
      <c r="D147" s="275" t="n"/>
      <c r="E147" s="275" t="n"/>
      <c r="F147" s="122" t="n"/>
      <c r="G147" s="275" t="n"/>
      <c r="H147" s="275" t="n"/>
      <c r="I147" s="275" t="n"/>
      <c r="J147" s="276" t="n"/>
      <c r="K147" s="295" t="n"/>
      <c r="L147" s="295" t="n"/>
    </row>
    <row r="148">
      <c r="A148" s="274" t="n"/>
      <c r="B148" s="274" t="n"/>
      <c r="C148" s="275" t="n"/>
      <c r="D148" s="275" t="n"/>
      <c r="E148" s="275" t="n"/>
      <c r="F148" s="122" t="n"/>
      <c r="G148" s="275" t="n"/>
      <c r="H148" s="275" t="n"/>
      <c r="I148" s="275" t="n"/>
      <c r="J148" s="276" t="n"/>
      <c r="K148" s="295" t="n"/>
      <c r="L148" s="295" t="n"/>
    </row>
    <row r="149">
      <c r="A149" s="274" t="n"/>
      <c r="B149" s="274" t="n"/>
      <c r="C149" s="275" t="n"/>
      <c r="D149" s="275" t="n"/>
      <c r="E149" s="275" t="n"/>
      <c r="F149" s="122" t="n"/>
      <c r="G149" s="275" t="n"/>
      <c r="H149" s="275" t="n"/>
      <c r="I149" s="275" t="n"/>
      <c r="J149" s="276" t="n"/>
      <c r="K149" s="295" t="n"/>
      <c r="L149" s="295" t="n"/>
    </row>
    <row r="150">
      <c r="A150" s="274" t="n"/>
      <c r="B150" s="274" t="n"/>
      <c r="C150" s="275" t="n"/>
      <c r="D150" s="275" t="n"/>
      <c r="E150" s="275" t="n"/>
      <c r="F150" s="122" t="n"/>
      <c r="G150" s="275" t="n"/>
      <c r="H150" s="275" t="n"/>
      <c r="I150" s="275" t="n"/>
      <c r="J150" s="276" t="n"/>
      <c r="K150" s="295" t="n"/>
      <c r="L150" s="295" t="n"/>
    </row>
    <row r="151">
      <c r="A151" s="274" t="n"/>
      <c r="B151" s="274" t="n"/>
      <c r="C151" s="275" t="n"/>
      <c r="D151" s="275" t="n"/>
      <c r="E151" s="275" t="n"/>
      <c r="F151" s="122" t="n"/>
      <c r="G151" s="275" t="n"/>
      <c r="H151" s="275" t="n"/>
      <c r="I151" s="275" t="n"/>
      <c r="J151" s="276" t="n"/>
      <c r="K151" s="295" t="n"/>
      <c r="L151" s="295" t="n"/>
    </row>
    <row r="152">
      <c r="A152" s="274" t="n"/>
      <c r="B152" s="274" t="n"/>
      <c r="C152" s="275" t="n"/>
      <c r="D152" s="275" t="n"/>
      <c r="E152" s="275" t="n"/>
      <c r="F152" s="122" t="n"/>
      <c r="G152" s="275" t="n"/>
      <c r="H152" s="275" t="n"/>
      <c r="I152" s="275" t="n"/>
      <c r="J152" s="276" t="n"/>
      <c r="K152" s="295" t="n"/>
      <c r="L152" s="295" t="n"/>
    </row>
    <row r="153">
      <c r="A153" s="274" t="n"/>
      <c r="B153" s="274" t="n"/>
      <c r="C153" s="275" t="n"/>
      <c r="D153" s="275" t="n"/>
      <c r="E153" s="275" t="n"/>
      <c r="F153" s="122" t="n"/>
      <c r="G153" s="275" t="n"/>
      <c r="H153" s="275" t="n"/>
      <c r="I153" s="275" t="n"/>
      <c r="J153" s="276" t="n"/>
      <c r="K153" s="295" t="n"/>
      <c r="L153" s="295" t="n"/>
    </row>
    <row r="154">
      <c r="A154" s="274" t="n"/>
      <c r="B154" s="274" t="n"/>
      <c r="C154" s="275" t="n"/>
      <c r="D154" s="275" t="n"/>
      <c r="E154" s="275" t="n"/>
      <c r="F154" s="122" t="n"/>
      <c r="G154" s="275" t="n"/>
      <c r="H154" s="275" t="n"/>
      <c r="I154" s="275" t="n"/>
      <c r="J154" s="276" t="n"/>
      <c r="K154" s="295" t="n"/>
      <c r="L154" s="295" t="n"/>
    </row>
    <row r="155">
      <c r="A155" s="274" t="n"/>
      <c r="B155" s="274" t="n"/>
      <c r="C155" s="275" t="n"/>
      <c r="D155" s="275" t="n"/>
      <c r="E155" s="275" t="n"/>
      <c r="F155" s="122" t="n"/>
      <c r="G155" s="275" t="n"/>
      <c r="H155" s="275" t="n"/>
      <c r="I155" s="275" t="n"/>
      <c r="J155" s="276" t="n"/>
      <c r="K155" s="295" t="n"/>
      <c r="L155" s="295" t="n"/>
    </row>
    <row r="156">
      <c r="A156" s="108" t="n"/>
      <c r="B156" s="108" t="n"/>
      <c r="C156" s="109" t="n"/>
      <c r="D156" s="109" t="n"/>
      <c r="E156" s="109" t="n"/>
      <c r="F156" s="122" t="n"/>
      <c r="G156" s="109" t="n"/>
      <c r="H156" s="109" t="n"/>
      <c r="I156" s="109" t="n"/>
      <c r="J156" s="110" t="n"/>
      <c r="K156" s="110" t="n"/>
      <c r="L156" s="110" t="n"/>
    </row>
    <row r="157">
      <c r="A157" s="108" t="n"/>
      <c r="B157" s="108" t="n"/>
      <c r="C157" s="109" t="n"/>
      <c r="D157" s="109" t="n"/>
      <c r="E157" s="109" t="n"/>
      <c r="F157" s="123" t="n"/>
      <c r="G157" s="109" t="n"/>
      <c r="H157" s="109" t="n"/>
      <c r="I157" s="109" t="n"/>
      <c r="J157" s="110" t="n"/>
      <c r="K157" s="110" t="n"/>
      <c r="L157" s="110" t="n"/>
    </row>
    <row r="158">
      <c r="A158" s="108" t="n"/>
      <c r="B158" s="108" t="n"/>
      <c r="C158" s="109" t="n"/>
      <c r="D158" s="109" t="n"/>
      <c r="E158" s="109" t="n"/>
      <c r="F158" s="123" t="n"/>
      <c r="G158" s="109" t="n"/>
      <c r="H158" s="109" t="n"/>
      <c r="I158" s="109" t="n"/>
      <c r="J158" s="110" t="n"/>
      <c r="K158" s="110" t="n"/>
      <c r="L158" s="110" t="n"/>
    </row>
    <row r="159">
      <c r="A159" s="108" t="n"/>
      <c r="B159" s="108" t="n"/>
      <c r="C159" s="109" t="n"/>
      <c r="D159" s="109" t="n"/>
      <c r="E159" s="109" t="n"/>
      <c r="F159" s="123" t="n"/>
      <c r="G159" s="109" t="n"/>
      <c r="H159" s="109" t="n"/>
      <c r="I159" s="109" t="n"/>
      <c r="J159" s="110" t="n"/>
      <c r="K159" s="110" t="n"/>
      <c r="L159" s="110" t="n"/>
    </row>
    <row r="160">
      <c r="A160" s="108" t="n"/>
      <c r="B160" s="108" t="n"/>
      <c r="C160" s="109" t="n"/>
      <c r="D160" s="109" t="n"/>
      <c r="E160" s="109" t="n"/>
      <c r="F160" s="122" t="n"/>
      <c r="G160" s="109" t="n"/>
      <c r="H160" s="109" t="n"/>
      <c r="I160" s="109" t="n"/>
      <c r="J160" s="110" t="n"/>
      <c r="K160" s="110" t="n"/>
      <c r="L160" s="110" t="n"/>
    </row>
    <row r="161">
      <c r="A161" s="280" t="n"/>
      <c r="B161" s="274" t="n"/>
      <c r="C161" s="279" t="n"/>
      <c r="D161" s="275" t="n"/>
      <c r="E161" s="275" t="n"/>
      <c r="F161" s="122" t="n"/>
      <c r="G161" s="275" t="n"/>
      <c r="H161" s="275" t="n"/>
      <c r="I161" s="275" t="n"/>
      <c r="J161" s="276" t="n"/>
      <c r="K161" s="276" t="n"/>
      <c r="L161" s="276" t="n"/>
    </row>
    <row r="162">
      <c r="A162" s="227" t="n"/>
      <c r="B162" s="228" t="n"/>
      <c r="C162" s="226" t="n"/>
      <c r="D162" s="109" t="n"/>
      <c r="E162" s="109" t="n"/>
      <c r="F162" s="122" t="n"/>
      <c r="G162" s="109" t="n"/>
      <c r="H162" s="109" t="n"/>
      <c r="I162" s="109" t="n"/>
      <c r="J162" s="110" t="n"/>
      <c r="K162" s="110" t="n"/>
      <c r="L162" s="110" t="n"/>
    </row>
    <row r="163">
      <c r="A163" s="229" t="n"/>
      <c r="B163" s="230" t="n"/>
      <c r="C163" s="226" t="n"/>
      <c r="D163" s="109" t="n"/>
      <c r="E163" s="109" t="n"/>
      <c r="F163" s="122" t="n"/>
      <c r="G163" s="109" t="n"/>
      <c r="H163" s="109" t="n"/>
      <c r="I163" s="109" t="n"/>
      <c r="J163" s="110" t="n"/>
      <c r="K163" s="110" t="n"/>
      <c r="L163" s="110" t="n"/>
    </row>
    <row r="164">
      <c r="A164" s="229" t="n"/>
      <c r="B164" s="230" t="n"/>
      <c r="C164" s="226" t="n"/>
      <c r="D164" s="109" t="n"/>
      <c r="E164" s="109" t="n"/>
      <c r="F164" s="122" t="n"/>
      <c r="G164" s="109" t="n"/>
      <c r="H164" s="109" t="n"/>
      <c r="I164" s="109" t="n"/>
      <c r="J164" s="110" t="n"/>
      <c r="K164" s="110" t="n"/>
      <c r="L164" s="110" t="n"/>
    </row>
    <row r="165">
      <c r="A165" s="229" t="n"/>
      <c r="B165" s="230" t="n"/>
      <c r="C165" s="226" t="n"/>
      <c r="D165" s="109" t="n"/>
      <c r="E165" s="109" t="n"/>
      <c r="F165" s="122" t="n"/>
      <c r="G165" s="109" t="n"/>
      <c r="H165" s="109" t="n"/>
      <c r="I165" s="109" t="n"/>
      <c r="J165" s="110" t="n"/>
      <c r="K165" s="110" t="n"/>
      <c r="L165" s="110" t="n"/>
    </row>
    <row r="166">
      <c r="A166" s="486" t="n"/>
      <c r="B166" s="486" t="n"/>
      <c r="C166" s="279" t="n"/>
      <c r="D166" s="275" t="n"/>
      <c r="E166" s="275" t="n"/>
      <c r="F166" s="122" t="n"/>
      <c r="G166" s="275" t="n"/>
      <c r="H166" s="275" t="n"/>
      <c r="I166" s="275" t="n"/>
      <c r="J166" s="276" t="n"/>
      <c r="K166" s="276" t="n"/>
      <c r="L166" s="276" t="n"/>
    </row>
    <row r="167">
      <c r="A167" s="257" t="n"/>
      <c r="B167" s="257" t="n"/>
      <c r="C167" s="226" t="n"/>
      <c r="D167" s="109" t="n"/>
      <c r="E167" s="109" t="n"/>
      <c r="F167" s="122" t="n"/>
      <c r="G167" s="109" t="n"/>
      <c r="H167" s="109" t="n"/>
      <c r="I167" s="109" t="n"/>
      <c r="J167" s="110" t="n"/>
      <c r="K167" s="110" t="n"/>
      <c r="L167" s="110" t="n"/>
    </row>
    <row r="168">
      <c r="A168" s="257" t="n"/>
      <c r="B168" s="257" t="n"/>
      <c r="C168" s="226" t="n"/>
      <c r="D168" s="109" t="n"/>
      <c r="E168" s="109" t="n"/>
      <c r="F168" s="122" t="n"/>
      <c r="G168" s="109" t="n"/>
      <c r="H168" s="109" t="n"/>
      <c r="I168" s="109" t="n"/>
      <c r="J168" s="110" t="n"/>
      <c r="K168" s="110" t="n"/>
      <c r="L168" s="110" t="n"/>
    </row>
    <row r="169">
      <c r="A169" s="257" t="n"/>
      <c r="B169" s="257" t="n"/>
      <c r="C169" s="226" t="n"/>
      <c r="D169" s="109" t="n"/>
      <c r="E169" s="109" t="n"/>
      <c r="F169" s="122" t="n"/>
      <c r="G169" s="109" t="n"/>
      <c r="H169" s="109" t="n"/>
      <c r="I169" s="109" t="n"/>
      <c r="J169" s="110" t="n"/>
      <c r="K169" s="110" t="n"/>
      <c r="L169" s="110" t="n"/>
    </row>
    <row r="170">
      <c r="A170" s="257" t="n"/>
      <c r="B170" s="257" t="n"/>
      <c r="C170" s="226" t="n"/>
      <c r="D170" s="109" t="n"/>
      <c r="E170" s="109" t="n"/>
      <c r="F170" s="122" t="n"/>
      <c r="G170" s="109" t="n"/>
      <c r="H170" s="109" t="n"/>
      <c r="I170" s="109" t="n"/>
      <c r="J170" s="110" t="n"/>
      <c r="K170" s="110" t="n"/>
      <c r="L170" s="110" t="n"/>
    </row>
    <row r="171">
      <c r="A171" s="257" t="n"/>
      <c r="B171" s="257" t="n"/>
      <c r="C171" s="226" t="n"/>
      <c r="D171" s="109" t="n"/>
      <c r="E171" s="109" t="n"/>
      <c r="F171" s="122" t="n"/>
      <c r="G171" s="109" t="n"/>
      <c r="H171" s="109" t="n"/>
      <c r="I171" s="109" t="n"/>
      <c r="J171" s="110" t="n"/>
      <c r="K171" s="110" t="n"/>
      <c r="L171" s="110" t="n"/>
    </row>
    <row r="172">
      <c r="A172" s="257" t="n"/>
      <c r="B172" s="257" t="n"/>
      <c r="C172" s="226" t="n"/>
      <c r="D172" s="109" t="n"/>
      <c r="E172" s="109" t="n"/>
      <c r="F172" s="122" t="n"/>
      <c r="G172" s="109" t="n"/>
      <c r="H172" s="109" t="n"/>
      <c r="I172" s="109" t="n"/>
      <c r="J172" s="110" t="n"/>
      <c r="K172" s="110" t="n"/>
      <c r="L172" s="110" t="n"/>
    </row>
    <row r="173">
      <c r="A173" s="257" t="n"/>
      <c r="B173" s="257" t="n"/>
      <c r="C173" s="226" t="n"/>
      <c r="D173" s="109" t="n"/>
      <c r="E173" s="109" t="n"/>
      <c r="F173" s="122" t="n"/>
      <c r="G173" s="109" t="n"/>
      <c r="H173" s="109" t="n"/>
      <c r="I173" s="109" t="n"/>
      <c r="J173" s="110" t="n"/>
      <c r="K173" s="110" t="n"/>
      <c r="L173" s="110" t="n"/>
    </row>
    <row r="174">
      <c r="A174" s="257" t="n"/>
      <c r="B174" s="257" t="n"/>
      <c r="C174" s="226" t="n"/>
      <c r="D174" s="109" t="n"/>
      <c r="E174" s="109" t="n"/>
      <c r="F174" s="122" t="n"/>
      <c r="G174" s="109" t="n"/>
      <c r="H174" s="109" t="n"/>
      <c r="I174" s="109" t="n"/>
      <c r="J174" s="110" t="n"/>
      <c r="K174" s="110" t="n"/>
      <c r="L174" s="110" t="n"/>
    </row>
    <row r="175">
      <c r="A175" s="257" t="n"/>
      <c r="B175" s="257" t="n"/>
      <c r="C175" s="226" t="n"/>
      <c r="D175" s="109" t="n"/>
      <c r="E175" s="109" t="n"/>
      <c r="F175" s="122" t="n"/>
      <c r="G175" s="109" t="n"/>
      <c r="H175" s="109" t="n"/>
      <c r="I175" s="109" t="n"/>
      <c r="J175" s="110" t="n"/>
      <c r="K175" s="110" t="n"/>
      <c r="L175" s="110" t="n"/>
    </row>
    <row r="176">
      <c r="A176" s="257" t="n"/>
      <c r="B176" s="257" t="n"/>
      <c r="C176" s="226" t="n"/>
      <c r="D176" s="109" t="n"/>
      <c r="E176" s="109" t="n"/>
      <c r="F176" s="122" t="n"/>
      <c r="G176" s="109" t="n"/>
      <c r="H176" s="109" t="n"/>
      <c r="I176" s="109" t="n"/>
      <c r="J176" s="110" t="n"/>
      <c r="K176" s="110" t="n"/>
      <c r="L176" s="110" t="n"/>
    </row>
    <row r="177">
      <c r="A177" s="257" t="n"/>
      <c r="B177" s="257" t="n"/>
      <c r="C177" s="279" t="n"/>
      <c r="D177" s="275" t="n"/>
      <c r="E177" s="275" t="n"/>
      <c r="F177" s="122" t="n"/>
      <c r="G177" s="275" t="n"/>
      <c r="H177" s="275" t="n"/>
      <c r="I177" s="275" t="n"/>
      <c r="J177" s="276" t="n"/>
      <c r="K177" s="276" t="n"/>
      <c r="L177" s="276" t="n"/>
    </row>
    <row r="178">
      <c r="A178" s="257" t="n"/>
      <c r="B178" s="257" t="n"/>
      <c r="C178" s="279" t="n"/>
      <c r="D178" s="275" t="n"/>
      <c r="E178" s="275" t="n"/>
      <c r="F178" s="122" t="n"/>
      <c r="G178" s="275" t="n"/>
      <c r="H178" s="275" t="n"/>
      <c r="I178" s="275" t="n"/>
      <c r="J178" s="276" t="n"/>
      <c r="K178" s="276" t="n"/>
      <c r="L178" s="276" t="n"/>
    </row>
    <row r="179">
      <c r="A179" s="257" t="n"/>
      <c r="B179" s="257" t="n"/>
      <c r="C179" s="279" t="n"/>
      <c r="D179" s="275" t="n"/>
      <c r="E179" s="275" t="n"/>
      <c r="F179" s="122" t="n"/>
      <c r="G179" s="275" t="n"/>
      <c r="H179" s="275" t="n"/>
      <c r="I179" s="275" t="n"/>
      <c r="J179" s="276" t="n"/>
      <c r="K179" s="276" t="n"/>
      <c r="L179" s="276" t="n"/>
    </row>
    <row r="180">
      <c r="A180" s="257" t="n"/>
      <c r="B180" s="257" t="n"/>
      <c r="C180" s="279" t="n"/>
      <c r="D180" s="275" t="n"/>
      <c r="E180" s="275" t="n"/>
      <c r="F180" s="122" t="n"/>
      <c r="G180" s="275" t="n"/>
      <c r="H180" s="275" t="n"/>
      <c r="I180" s="275" t="n"/>
      <c r="J180" s="276" t="n"/>
      <c r="K180" s="276" t="n"/>
      <c r="L180" s="276" t="n"/>
    </row>
    <row r="181">
      <c r="A181" s="257" t="n"/>
      <c r="B181" s="257" t="n"/>
      <c r="C181" s="279" t="n"/>
      <c r="D181" s="275" t="n"/>
      <c r="E181" s="275" t="n"/>
      <c r="F181" s="122" t="n"/>
      <c r="G181" s="275" t="n"/>
      <c r="H181" s="275" t="n"/>
      <c r="I181" s="275" t="n"/>
      <c r="J181" s="276" t="n"/>
      <c r="K181" s="276" t="n"/>
      <c r="L181" s="276" t="n"/>
    </row>
    <row r="182">
      <c r="A182" s="257" t="n"/>
      <c r="B182" s="257" t="n"/>
      <c r="C182" s="279" t="n"/>
      <c r="D182" s="275" t="n"/>
      <c r="E182" s="275" t="n"/>
      <c r="F182" s="122" t="n"/>
      <c r="G182" s="275" t="n"/>
      <c r="H182" s="275" t="n"/>
      <c r="I182" s="275" t="n"/>
      <c r="J182" s="276" t="n"/>
      <c r="K182" s="276" t="n"/>
      <c r="L182" s="276" t="n"/>
    </row>
    <row r="183">
      <c r="A183" s="257" t="n"/>
      <c r="B183" s="257" t="n"/>
      <c r="C183" s="279" t="n"/>
      <c r="D183" s="275" t="n"/>
      <c r="E183" s="275" t="n"/>
      <c r="F183" s="122" t="n"/>
      <c r="G183" s="275" t="n"/>
      <c r="H183" s="275" t="n"/>
      <c r="I183" s="275" t="n"/>
      <c r="J183" s="276" t="n"/>
      <c r="K183" s="276" t="n"/>
      <c r="L183" s="276" t="n"/>
    </row>
    <row r="184">
      <c r="A184" s="257" t="n"/>
      <c r="B184" s="257" t="n"/>
      <c r="C184" s="226" t="n"/>
      <c r="D184" s="109" t="n"/>
      <c r="E184" s="109" t="n"/>
      <c r="F184" s="122" t="n"/>
      <c r="G184" s="109" t="n"/>
      <c r="H184" s="109" t="n"/>
      <c r="I184" s="109" t="n"/>
      <c r="J184" s="110" t="n"/>
      <c r="K184" s="110" t="n"/>
      <c r="L184" s="110" t="n"/>
    </row>
    <row r="185">
      <c r="A185" s="257" t="n"/>
      <c r="B185" s="257" t="n"/>
      <c r="C185" s="226" t="n"/>
      <c r="D185" s="109" t="n"/>
      <c r="E185" s="109" t="n"/>
      <c r="F185" s="122" t="n"/>
      <c r="G185" s="109" t="n"/>
      <c r="H185" s="109" t="n"/>
      <c r="I185" s="109" t="n"/>
      <c r="J185" s="110" t="n"/>
      <c r="K185" s="110" t="n"/>
      <c r="L185" s="110" t="n"/>
    </row>
    <row r="186">
      <c r="A186" s="257" t="n"/>
      <c r="B186" s="257" t="n"/>
      <c r="C186" s="226" t="n"/>
      <c r="D186" s="109" t="n"/>
      <c r="E186" s="109" t="n"/>
      <c r="F186" s="122" t="n"/>
      <c r="G186" s="109" t="n"/>
      <c r="H186" s="109" t="n"/>
      <c r="I186" s="109" t="n"/>
      <c r="J186" s="110" t="n"/>
      <c r="K186" s="110" t="n"/>
      <c r="L186" s="110" t="n"/>
    </row>
    <row r="187">
      <c r="A187" s="257" t="n"/>
      <c r="B187" s="257" t="n"/>
      <c r="C187" s="226" t="n"/>
      <c r="D187" s="109" t="n"/>
      <c r="E187" s="109" t="n"/>
      <c r="F187" s="122" t="n"/>
      <c r="G187" s="109" t="n"/>
      <c r="H187" s="109" t="n"/>
      <c r="I187" s="109" t="n"/>
      <c r="J187" s="110" t="n"/>
      <c r="K187" s="110" t="n"/>
      <c r="L187" s="110" t="n"/>
    </row>
    <row r="188">
      <c r="A188" s="257" t="n"/>
      <c r="B188" s="257" t="n"/>
      <c r="C188" s="226" t="n"/>
      <c r="D188" s="109" t="n"/>
      <c r="E188" s="109" t="n"/>
      <c r="F188" s="122" t="n"/>
      <c r="G188" s="109" t="n"/>
      <c r="H188" s="109" t="n"/>
      <c r="I188" s="109" t="n"/>
      <c r="J188" s="110" t="n"/>
      <c r="K188" s="110" t="n"/>
      <c r="L188" s="110" t="n"/>
    </row>
    <row r="189">
      <c r="A189" s="257" t="n"/>
      <c r="B189" s="257" t="n"/>
      <c r="C189" s="226" t="n"/>
      <c r="D189" s="109" t="n"/>
      <c r="E189" s="109" t="n"/>
      <c r="F189" s="122" t="n"/>
      <c r="G189" s="109" t="n"/>
      <c r="H189" s="109" t="n"/>
      <c r="I189" s="109" t="n"/>
      <c r="J189" s="110" t="n"/>
      <c r="K189" s="110" t="n"/>
      <c r="L189" s="110" t="n"/>
    </row>
    <row r="190">
      <c r="A190" s="257" t="n"/>
      <c r="B190" s="257" t="n"/>
      <c r="C190" s="226" t="n"/>
      <c r="D190" s="109" t="n"/>
      <c r="E190" s="109" t="n"/>
      <c r="F190" s="122" t="n"/>
      <c r="G190" s="109" t="n"/>
      <c r="H190" s="109" t="n"/>
      <c r="I190" s="109" t="n"/>
      <c r="J190" s="110" t="n"/>
      <c r="K190" s="110" t="n"/>
      <c r="L190" s="110" t="n"/>
    </row>
    <row r="191">
      <c r="A191" s="257" t="n"/>
      <c r="B191" s="257" t="n"/>
      <c r="C191" s="226" t="n"/>
      <c r="D191" s="109" t="n"/>
      <c r="E191" s="109" t="n"/>
      <c r="F191" s="122" t="n"/>
      <c r="G191" s="109" t="n"/>
      <c r="H191" s="109" t="n"/>
      <c r="I191" s="109" t="n"/>
      <c r="J191" s="110" t="n"/>
      <c r="K191" s="110" t="n"/>
      <c r="L191" s="110" t="n"/>
    </row>
    <row r="192">
      <c r="A192" s="257" t="n"/>
      <c r="B192" s="257" t="n"/>
      <c r="C192" s="226" t="n"/>
      <c r="D192" s="109" t="n"/>
      <c r="E192" s="109" t="n"/>
      <c r="F192" s="122" t="n"/>
      <c r="G192" s="109" t="n"/>
      <c r="H192" s="109" t="n"/>
      <c r="I192" s="109" t="n"/>
      <c r="J192" s="110" t="n"/>
      <c r="K192" s="110" t="n"/>
      <c r="L192" s="110" t="n"/>
    </row>
    <row r="193">
      <c r="A193" s="269" t="n"/>
      <c r="B193" s="270" t="n"/>
      <c r="C193" s="226" t="n"/>
      <c r="D193" s="109" t="n"/>
      <c r="E193" s="109" t="n"/>
      <c r="F193" s="122" t="n"/>
      <c r="G193" s="109" t="n"/>
      <c r="H193" s="109" t="n"/>
      <c r="I193" s="109" t="n"/>
      <c r="J193" s="110" t="n"/>
      <c r="K193" s="110" t="n"/>
      <c r="L193" s="110" t="n"/>
    </row>
    <row r="194">
      <c r="A194" s="269" t="n"/>
      <c r="B194" s="270" t="n"/>
      <c r="C194" s="279" t="n"/>
      <c r="D194" s="275" t="n"/>
      <c r="E194" s="275" t="n"/>
      <c r="F194" s="122" t="n"/>
      <c r="G194" s="275" t="n"/>
      <c r="H194" s="275" t="n"/>
      <c r="I194" s="275" t="n"/>
      <c r="J194" s="276" t="n"/>
      <c r="K194" s="276" t="n"/>
      <c r="L194" s="276" t="n"/>
    </row>
    <row r="195">
      <c r="A195" s="269" t="n"/>
      <c r="B195" s="270" t="n"/>
      <c r="C195" s="279" t="n"/>
      <c r="D195" s="275" t="n"/>
      <c r="E195" s="275" t="n"/>
      <c r="F195" s="122" t="n"/>
      <c r="G195" s="275" t="n"/>
      <c r="H195" s="275" t="n"/>
      <c r="I195" s="275" t="n"/>
      <c r="J195" s="276" t="n"/>
      <c r="K195" s="276" t="n"/>
      <c r="L195" s="276" t="n"/>
    </row>
    <row r="196">
      <c r="A196" s="269" t="n"/>
      <c r="B196" s="270" t="n"/>
      <c r="C196" s="226" t="n"/>
      <c r="D196" s="109" t="n"/>
      <c r="E196" s="109" t="n"/>
      <c r="F196" s="122" t="n"/>
      <c r="G196" s="109" t="n"/>
      <c r="H196" s="109" t="n"/>
      <c r="I196" s="109" t="n"/>
      <c r="J196" s="110" t="n"/>
      <c r="K196" s="110" t="n"/>
      <c r="L196" s="110" t="n"/>
    </row>
    <row r="197">
      <c r="A197" s="269" t="n"/>
      <c r="B197" s="270" t="n"/>
      <c r="C197" s="226" t="n"/>
      <c r="D197" s="109" t="n"/>
      <c r="E197" s="109" t="n"/>
      <c r="F197" s="122" t="n"/>
      <c r="G197" s="109" t="n"/>
      <c r="H197" s="109" t="n"/>
      <c r="I197" s="109" t="n"/>
      <c r="J197" s="110" t="n"/>
      <c r="K197" s="110" t="n"/>
      <c r="L197" s="110" t="n"/>
    </row>
    <row r="198">
      <c r="A198" s="269" t="n"/>
      <c r="B198" s="270" t="n"/>
      <c r="C198" s="226" t="n"/>
      <c r="D198" s="109" t="n"/>
      <c r="E198" s="109" t="n"/>
      <c r="F198" s="122" t="n"/>
      <c r="G198" s="109" t="n"/>
      <c r="H198" s="109" t="n"/>
      <c r="I198" s="109" t="n"/>
      <c r="J198" s="110" t="n"/>
      <c r="K198" s="110" t="n"/>
      <c r="L198" s="110" t="n"/>
    </row>
    <row r="199">
      <c r="A199" s="269" t="n"/>
      <c r="B199" s="270" t="n"/>
      <c r="C199" s="226" t="n"/>
      <c r="D199" s="109" t="n"/>
      <c r="E199" s="109" t="n"/>
      <c r="F199" s="122" t="n"/>
      <c r="G199" s="109" t="n"/>
      <c r="H199" s="109" t="n"/>
      <c r="I199" s="109" t="n"/>
      <c r="J199" s="110" t="n"/>
      <c r="K199" s="110" t="n"/>
      <c r="L199" s="110" t="n"/>
    </row>
    <row r="200">
      <c r="A200" s="438" t="n"/>
      <c r="B200" s="286" t="n"/>
      <c r="C200" s="279" t="n"/>
      <c r="D200" s="275" t="n"/>
      <c r="E200" s="275" t="n"/>
      <c r="F200" s="122" t="n"/>
      <c r="G200" s="275" t="n"/>
      <c r="H200" s="275" t="n"/>
      <c r="I200" s="275" t="n"/>
      <c r="J200" s="276" t="n"/>
      <c r="K200" s="276" t="n"/>
      <c r="L200" s="276" t="n"/>
    </row>
    <row r="201">
      <c r="A201" s="438" t="n"/>
      <c r="B201" s="286" t="n"/>
      <c r="C201" s="279" t="n"/>
      <c r="D201" s="275" t="n"/>
      <c r="E201" s="275" t="n"/>
      <c r="F201" s="122" t="n"/>
      <c r="G201" s="275" t="n"/>
      <c r="H201" s="275" t="n"/>
      <c r="I201" s="275" t="n"/>
      <c r="J201" s="276" t="n"/>
      <c r="K201" s="276" t="n"/>
      <c r="L201" s="276" t="n"/>
    </row>
    <row r="202">
      <c r="A202" s="438" t="n"/>
      <c r="B202" s="286" t="n"/>
      <c r="C202" s="279" t="n"/>
      <c r="D202" s="275" t="n"/>
      <c r="E202" s="275" t="n"/>
      <c r="F202" s="122" t="n"/>
      <c r="G202" s="275" t="n"/>
      <c r="H202" s="275" t="n"/>
      <c r="I202" s="275" t="n"/>
      <c r="J202" s="276" t="n"/>
      <c r="K202" s="276" t="n"/>
      <c r="L202" s="276" t="n"/>
    </row>
    <row r="203">
      <c r="A203" s="438" t="n"/>
      <c r="B203" s="286" t="n"/>
      <c r="C203" s="279" t="n"/>
      <c r="D203" s="275" t="n"/>
      <c r="E203" s="275" t="n"/>
      <c r="F203" s="122" t="n"/>
      <c r="G203" s="275" t="n"/>
      <c r="H203" s="275" t="n"/>
      <c r="I203" s="275" t="n"/>
      <c r="J203" s="276" t="n"/>
      <c r="K203" s="276" t="n"/>
      <c r="L203" s="276" t="n"/>
    </row>
    <row r="204">
      <c r="A204" s="438" t="n"/>
      <c r="B204" s="286" t="n"/>
      <c r="C204" s="279" t="n"/>
      <c r="D204" s="275" t="n"/>
      <c r="E204" s="275" t="n"/>
      <c r="F204" s="122" t="n"/>
      <c r="G204" s="275" t="n"/>
      <c r="H204" s="275" t="n"/>
      <c r="I204" s="275" t="n"/>
      <c r="J204" s="276" t="n"/>
      <c r="K204" s="276" t="n"/>
      <c r="L204" s="276" t="n"/>
    </row>
    <row r="205">
      <c r="A205" s="438" t="n"/>
      <c r="B205" s="286" t="n"/>
      <c r="C205" s="279" t="n"/>
      <c r="D205" s="275" t="n"/>
      <c r="E205" s="275" t="n"/>
      <c r="F205" s="122" t="n"/>
      <c r="G205" s="275" t="n"/>
      <c r="H205" s="275" t="n"/>
      <c r="I205" s="275" t="n"/>
      <c r="J205" s="276" t="n"/>
      <c r="K205" s="276" t="n"/>
      <c r="L205" s="276" t="n"/>
    </row>
    <row r="206">
      <c r="A206" s="438" t="n"/>
      <c r="B206" s="286" t="n"/>
      <c r="C206" s="279" t="n"/>
      <c r="D206" s="275" t="n"/>
      <c r="E206" s="275" t="n"/>
      <c r="F206" s="122" t="n"/>
      <c r="G206" s="275" t="n"/>
      <c r="H206" s="275" t="n"/>
      <c r="I206" s="275" t="n"/>
      <c r="J206" s="276" t="n"/>
      <c r="K206" s="276" t="n"/>
      <c r="L206" s="276" t="n"/>
    </row>
    <row r="207">
      <c r="A207" s="285" t="n"/>
      <c r="B207" s="286" t="n"/>
      <c r="C207" s="279" t="n"/>
      <c r="D207" s="275" t="n"/>
      <c r="E207" s="275" t="n"/>
      <c r="F207" s="122" t="n"/>
      <c r="G207" s="275" t="n"/>
      <c r="H207" s="275" t="n"/>
      <c r="I207" s="275" t="n"/>
      <c r="J207" s="276" t="n"/>
      <c r="K207" s="276" t="n"/>
      <c r="L207" s="276" t="n"/>
    </row>
    <row r="208">
      <c r="A208" s="257" t="n"/>
      <c r="B208" s="270" t="n"/>
      <c r="C208" s="279" t="n"/>
      <c r="D208" s="275" t="n"/>
      <c r="E208" s="275" t="n"/>
      <c r="F208" s="122" t="n"/>
      <c r="G208" s="275" t="n"/>
      <c r="H208" s="275" t="n"/>
      <c r="I208" s="275" t="n"/>
      <c r="J208" s="276" t="n"/>
      <c r="K208" s="276" t="n"/>
      <c r="L208" s="276" t="n"/>
    </row>
    <row r="209">
      <c r="A209" s="257" t="n"/>
      <c r="B209" s="270" t="n"/>
      <c r="C209" s="279" t="n"/>
      <c r="D209" s="275" t="n"/>
      <c r="E209" s="275" t="n"/>
      <c r="F209" s="122" t="n"/>
      <c r="G209" s="275" t="n"/>
      <c r="H209" s="275" t="n"/>
      <c r="I209" s="275" t="n"/>
      <c r="J209" s="276" t="n"/>
      <c r="K209" s="276" t="n"/>
      <c r="L209" s="276" t="n"/>
    </row>
    <row r="210">
      <c r="A210" s="287" t="n"/>
      <c r="B210" s="288" t="n"/>
      <c r="C210" s="279" t="n"/>
      <c r="D210" s="275" t="n"/>
      <c r="E210" s="275" t="n"/>
      <c r="F210" s="122" t="n"/>
      <c r="G210" s="275" t="n"/>
      <c r="H210" s="275" t="n"/>
      <c r="I210" s="275" t="n"/>
      <c r="J210" s="276" t="n"/>
      <c r="K210" s="276" t="n"/>
      <c r="L210" s="276" t="n"/>
    </row>
    <row r="211">
      <c r="A211" s="287" t="n"/>
      <c r="B211" s="287" t="n"/>
      <c r="C211" s="279" t="n"/>
      <c r="D211" s="275" t="n"/>
      <c r="E211" s="275" t="n"/>
      <c r="F211" s="122" t="n"/>
      <c r="G211" s="275" t="n"/>
      <c r="H211" s="275" t="n"/>
      <c r="I211" s="275" t="n"/>
      <c r="J211" s="276" t="n"/>
      <c r="K211" s="276" t="n"/>
      <c r="L211" s="276" t="n"/>
    </row>
    <row r="212">
      <c r="A212" s="287" t="n"/>
      <c r="B212" s="287" t="n"/>
      <c r="C212" s="279" t="n"/>
      <c r="D212" s="275" t="n"/>
      <c r="E212" s="275" t="n"/>
      <c r="F212" s="122" t="n"/>
      <c r="G212" s="275" t="n"/>
      <c r="H212" s="275" t="n"/>
      <c r="I212" s="275" t="n"/>
      <c r="J212" s="276" t="n"/>
      <c r="K212" s="276" t="n"/>
      <c r="L212" s="276" t="n"/>
    </row>
    <row r="213">
      <c r="A213" s="287" t="n"/>
      <c r="B213" s="287" t="n"/>
      <c r="C213" s="279" t="n"/>
      <c r="D213" s="275" t="n"/>
      <c r="E213" s="275" t="n"/>
      <c r="F213" s="122" t="n"/>
      <c r="G213" s="275" t="n"/>
      <c r="H213" s="275" t="n"/>
      <c r="I213" s="275" t="n"/>
      <c r="J213" s="276" t="n"/>
      <c r="K213" s="276" t="n"/>
      <c r="L213" s="276" t="n"/>
    </row>
    <row r="214">
      <c r="A214" s="287" t="n"/>
      <c r="B214" s="287" t="n"/>
      <c r="C214" s="279" t="n"/>
      <c r="D214" s="275" t="n"/>
      <c r="E214" s="275" t="n"/>
      <c r="F214" s="122" t="n"/>
      <c r="G214" s="275" t="n"/>
      <c r="H214" s="275" t="n"/>
      <c r="I214" s="275" t="n"/>
      <c r="J214" s="276" t="n"/>
      <c r="K214" s="276" t="n"/>
      <c r="L214" s="276" t="n"/>
    </row>
    <row r="215">
      <c r="A215" s="287" t="n"/>
      <c r="B215" s="287" t="n"/>
      <c r="C215" s="279" t="n"/>
      <c r="D215" s="275" t="n"/>
      <c r="E215" s="275" t="n"/>
      <c r="F215" s="122" t="n"/>
      <c r="G215" s="275" t="n"/>
      <c r="H215" s="275" t="n"/>
      <c r="I215" s="275" t="n"/>
      <c r="J215" s="276" t="n"/>
      <c r="K215" s="276" t="n"/>
      <c r="L215" s="276" t="n"/>
    </row>
    <row r="216">
      <c r="A216" s="257" t="n"/>
      <c r="B216" s="257" t="n"/>
      <c r="C216" s="279" t="n"/>
      <c r="D216" s="275" t="n"/>
      <c r="E216" s="275" t="n"/>
      <c r="F216" s="122" t="n"/>
      <c r="G216" s="275" t="n"/>
      <c r="H216" s="275" t="n"/>
      <c r="I216" s="275" t="n"/>
      <c r="J216" s="276" t="n"/>
      <c r="K216" s="276" t="n"/>
      <c r="L216" s="276" t="n"/>
    </row>
    <row r="217">
      <c r="A217" s="257" t="n"/>
      <c r="B217" s="257" t="n"/>
      <c r="C217" s="279" t="n"/>
      <c r="D217" s="275" t="n"/>
      <c r="E217" s="275" t="n"/>
      <c r="F217" s="122" t="n"/>
      <c r="G217" s="275" t="n"/>
      <c r="H217" s="275" t="n"/>
      <c r="I217" s="275" t="n"/>
      <c r="J217" s="276" t="n"/>
      <c r="K217" s="276" t="n"/>
      <c r="L217" s="276" t="n"/>
    </row>
    <row r="218">
      <c r="A218" s="257" t="n"/>
      <c r="B218" s="257" t="n"/>
      <c r="C218" s="279" t="n"/>
      <c r="D218" s="275" t="n"/>
      <c r="E218" s="275" t="n"/>
      <c r="F218" s="122" t="n"/>
      <c r="G218" s="275" t="n"/>
      <c r="H218" s="275" t="n"/>
      <c r="I218" s="275" t="n"/>
      <c r="J218" s="276" t="n"/>
      <c r="K218" s="276" t="n"/>
      <c r="L218" s="276" t="n"/>
    </row>
    <row r="219">
      <c r="A219" s="257" t="n"/>
      <c r="B219" s="257" t="n"/>
      <c r="C219" s="279" t="n"/>
      <c r="D219" s="275" t="n"/>
      <c r="E219" s="275" t="n"/>
      <c r="F219" s="122" t="n"/>
      <c r="G219" s="275" t="n"/>
      <c r="H219" s="275" t="n"/>
      <c r="I219" s="275" t="n"/>
      <c r="J219" s="276" t="n"/>
      <c r="K219" s="276" t="n"/>
      <c r="L219" s="276" t="n"/>
    </row>
    <row r="220">
      <c r="A220" s="257" t="n"/>
      <c r="B220" s="257" t="n"/>
      <c r="C220" s="279" t="n"/>
      <c r="D220" s="275" t="n"/>
      <c r="E220" s="275" t="n"/>
      <c r="F220" s="122" t="n"/>
      <c r="G220" s="275" t="n"/>
      <c r="H220" s="275" t="n"/>
      <c r="I220" s="275" t="n"/>
      <c r="J220" s="276" t="n"/>
      <c r="K220" s="276" t="n"/>
      <c r="L220" s="276" t="n"/>
    </row>
    <row r="221">
      <c r="A221" s="257" t="n"/>
      <c r="B221" s="257" t="n"/>
      <c r="C221" s="279" t="n"/>
      <c r="D221" s="275" t="n"/>
      <c r="E221" s="275" t="n"/>
      <c r="F221" s="122" t="n"/>
      <c r="G221" s="275" t="n"/>
      <c r="H221" s="275" t="n"/>
      <c r="I221" s="275" t="n"/>
      <c r="J221" s="276" t="n"/>
      <c r="K221" s="276" t="n"/>
      <c r="L221" s="276" t="n"/>
    </row>
    <row r="222">
      <c r="A222" s="257" t="n"/>
      <c r="B222" s="316" t="n"/>
      <c r="C222" s="279" t="n"/>
      <c r="D222" s="275" t="n"/>
      <c r="E222" s="275" t="n"/>
      <c r="F222" s="122" t="n"/>
      <c r="G222" s="275" t="n"/>
      <c r="H222" s="275" t="n"/>
      <c r="I222" s="275" t="n"/>
      <c r="J222" s="276" t="n"/>
      <c r="K222" s="276" t="n"/>
      <c r="L222" s="276" t="n"/>
    </row>
    <row r="223">
      <c r="A223" s="274" t="n"/>
      <c r="B223" s="274" t="n"/>
      <c r="C223" s="109" t="n"/>
      <c r="D223" s="109" t="n"/>
      <c r="E223" s="109" t="n"/>
      <c r="F223" s="122" t="n"/>
      <c r="G223" s="109" t="n"/>
      <c r="H223" s="109" t="n"/>
      <c r="I223" s="109" t="n"/>
      <c r="J223" s="110" t="n"/>
      <c r="K223" s="110" t="n"/>
      <c r="L223" s="110" t="n"/>
    </row>
    <row r="224">
      <c r="A224" s="108" t="n"/>
      <c r="B224" s="108" t="n"/>
      <c r="C224" s="109" t="n"/>
      <c r="D224" s="109" t="n"/>
      <c r="E224" s="109" t="n"/>
      <c r="F224" s="122" t="n"/>
      <c r="G224" s="109" t="n"/>
      <c r="H224" s="109" t="n"/>
      <c r="I224" s="109" t="n"/>
      <c r="J224" s="110" t="n"/>
      <c r="K224" s="110" t="n"/>
      <c r="L224" s="110" t="n"/>
    </row>
    <row r="225">
      <c r="A225" s="108" t="n"/>
      <c r="B225" s="108" t="n"/>
      <c r="C225" s="109" t="n"/>
      <c r="D225" s="109" t="n"/>
      <c r="E225" s="109" t="n"/>
      <c r="F225" s="122" t="n"/>
      <c r="G225" s="109" t="n"/>
      <c r="H225" s="109" t="n"/>
      <c r="I225" s="109" t="n"/>
      <c r="J225" s="110" t="n"/>
      <c r="K225" s="110" t="n"/>
      <c r="L225" s="375" t="n"/>
    </row>
    <row r="226">
      <c r="A226" s="108" t="n"/>
      <c r="B226" s="108" t="n"/>
      <c r="C226" s="109" t="n"/>
      <c r="D226" s="109" t="n"/>
      <c r="E226" s="109" t="n"/>
      <c r="F226" s="122" t="n"/>
      <c r="G226" s="109" t="n"/>
      <c r="H226" s="109" t="n"/>
      <c r="I226" s="109" t="n"/>
      <c r="J226" s="110" t="n"/>
      <c r="K226" s="110" t="n"/>
      <c r="L226" s="110" t="n"/>
    </row>
    <row r="227">
      <c r="A227" s="108" t="n"/>
      <c r="B227" s="108" t="n"/>
      <c r="C227" s="109" t="n"/>
      <c r="D227" s="109" t="n"/>
      <c r="E227" s="109" t="n"/>
      <c r="F227" s="122" t="n"/>
      <c r="G227" s="109" t="n"/>
      <c r="H227" s="109" t="n"/>
      <c r="I227" s="109" t="n"/>
      <c r="J227" s="110" t="n"/>
      <c r="K227" s="110" t="n"/>
      <c r="L227" s="110" t="n"/>
    </row>
    <row r="228">
      <c r="A228" s="108" t="n"/>
      <c r="B228" s="108" t="n"/>
      <c r="C228" s="109" t="n"/>
      <c r="D228" s="109" t="n"/>
      <c r="E228" s="109" t="n"/>
      <c r="F228" s="122" t="n"/>
      <c r="G228" s="109" t="n"/>
      <c r="H228" s="109" t="n"/>
      <c r="I228" s="109" t="n"/>
      <c r="J228" s="110" t="n"/>
      <c r="K228" s="110" t="n"/>
      <c r="L228" s="110" t="n"/>
    </row>
    <row r="229">
      <c r="A229" s="108" t="n"/>
      <c r="B229" s="108" t="n"/>
      <c r="C229" s="109" t="n"/>
      <c r="D229" s="109" t="n"/>
      <c r="E229" s="109" t="n"/>
      <c r="F229" s="122" t="n"/>
      <c r="G229" s="109" t="n"/>
      <c r="H229" s="109" t="n"/>
      <c r="I229" s="109" t="n"/>
      <c r="J229" s="110" t="n"/>
      <c r="K229" s="110" t="n"/>
      <c r="L229" s="110" t="n"/>
    </row>
    <row r="230">
      <c r="A230" s="108" t="n"/>
      <c r="B230" s="108" t="n"/>
      <c r="C230" s="109" t="n"/>
      <c r="D230" s="109" t="n"/>
      <c r="E230" s="109" t="n"/>
      <c r="F230" s="122" t="n"/>
      <c r="G230" s="109" t="n"/>
      <c r="H230" s="109" t="n"/>
      <c r="I230" s="109" t="n"/>
      <c r="J230" s="110" t="n"/>
      <c r="K230" s="110" t="n"/>
      <c r="L230" s="110" t="n"/>
    </row>
    <row r="231">
      <c r="A231" s="108" t="n"/>
      <c r="B231" s="108" t="n"/>
      <c r="C231" s="109" t="n"/>
      <c r="D231" s="109" t="n"/>
      <c r="E231" s="109" t="n"/>
      <c r="F231" s="122" t="n"/>
      <c r="G231" s="109" t="n"/>
      <c r="H231" s="109" t="n"/>
      <c r="I231" s="109" t="n"/>
      <c r="J231" s="110" t="n"/>
      <c r="K231" s="110" t="n"/>
      <c r="L231" s="110" t="n"/>
    </row>
    <row r="232">
      <c r="A232" s="108" t="n"/>
      <c r="B232" s="108" t="n"/>
      <c r="C232" s="109" t="n"/>
      <c r="D232" s="109" t="n"/>
      <c r="E232" s="109" t="n"/>
      <c r="F232" s="123" t="n"/>
      <c r="G232" s="109" t="n"/>
      <c r="H232" s="109" t="n"/>
      <c r="I232" s="109" t="n"/>
      <c r="J232" s="110" t="n"/>
      <c r="K232" s="110" t="n"/>
      <c r="L232" s="110" t="n"/>
    </row>
    <row r="233">
      <c r="A233" s="108" t="n"/>
      <c r="B233" s="108" t="n"/>
      <c r="C233" s="109" t="n"/>
      <c r="D233" s="109" t="n"/>
      <c r="E233" s="109" t="n"/>
      <c r="F233" s="123" t="n"/>
      <c r="G233" s="109" t="n"/>
      <c r="H233" s="109" t="n"/>
      <c r="I233" s="109" t="n"/>
      <c r="J233" s="110" t="n"/>
      <c r="K233" s="110" t="n"/>
      <c r="L233" s="110" t="n"/>
    </row>
    <row r="234">
      <c r="A234" s="274" t="n"/>
      <c r="B234" s="274" t="n"/>
      <c r="C234" s="275" t="n"/>
      <c r="D234" s="275" t="n"/>
      <c r="E234" s="275" t="n"/>
      <c r="F234" s="123" t="n"/>
      <c r="G234" s="275" t="n"/>
      <c r="H234" s="275" t="n"/>
      <c r="I234" s="275" t="n"/>
      <c r="J234" s="276" t="n"/>
      <c r="K234" s="276" t="n"/>
      <c r="L234" s="276" t="n"/>
    </row>
    <row r="235">
      <c r="A235" s="108" t="n"/>
      <c r="B235" s="108" t="n"/>
      <c r="C235" s="109" t="n"/>
      <c r="D235" s="109" t="n"/>
      <c r="E235" s="109" t="n"/>
      <c r="F235" s="122" t="n"/>
      <c r="G235" s="109" t="n"/>
      <c r="H235" s="109" t="n"/>
      <c r="I235" s="109" t="n"/>
      <c r="J235" s="110" t="n"/>
      <c r="K235" s="110" t="n"/>
      <c r="L235" s="110" t="n"/>
    </row>
    <row r="236">
      <c r="A236" s="108" t="n"/>
      <c r="B236" s="108" t="n"/>
      <c r="C236" s="109" t="n"/>
      <c r="D236" s="109" t="n"/>
      <c r="E236" s="109" t="n"/>
      <c r="F236" s="122" t="n"/>
      <c r="G236" s="109" t="n"/>
      <c r="H236" s="109" t="n"/>
      <c r="I236" s="109" t="n"/>
      <c r="J236" s="110" t="n"/>
      <c r="K236" s="110" t="n"/>
      <c r="L236" s="110" t="n"/>
    </row>
    <row r="237">
      <c r="A237" s="108" t="n"/>
      <c r="B237" s="108" t="n"/>
      <c r="C237" s="109" t="n"/>
      <c r="D237" s="109" t="n"/>
      <c r="E237" s="109" t="n"/>
      <c r="F237" s="122" t="n"/>
      <c r="G237" s="109" t="n"/>
      <c r="H237" s="109" t="n"/>
      <c r="I237" s="109" t="n"/>
      <c r="J237" s="110" t="n"/>
      <c r="K237" s="110" t="n"/>
      <c r="L237" s="110" t="n"/>
    </row>
    <row r="238">
      <c r="A238" s="108" t="n"/>
      <c r="B238" s="108" t="n"/>
      <c r="C238" s="109" t="n"/>
      <c r="D238" s="109" t="n"/>
      <c r="E238" s="109" t="n"/>
      <c r="F238" s="123" t="n"/>
      <c r="G238" s="109" t="n"/>
      <c r="H238" s="109" t="n"/>
      <c r="I238" s="109" t="n"/>
      <c r="J238" s="110" t="n"/>
      <c r="K238" s="110" t="n"/>
      <c r="L238" s="110" t="n"/>
    </row>
    <row r="239">
      <c r="A239" s="108" t="n"/>
      <c r="B239" s="108" t="n"/>
      <c r="C239" s="109" t="n"/>
      <c r="D239" s="109" t="n"/>
      <c r="E239" s="109" t="n"/>
      <c r="F239" s="123" t="n"/>
      <c r="G239" s="109" t="n"/>
      <c r="H239" s="109" t="n"/>
      <c r="I239" s="109" t="n"/>
      <c r="J239" s="110" t="n"/>
      <c r="K239" s="110" t="n"/>
      <c r="L239" s="110" t="n"/>
    </row>
  </sheetData>
  <mergeCells count="3">
    <mergeCell ref="C1:E1"/>
    <mergeCell ref="G1:I1"/>
    <mergeCell ref="A1:B1"/>
  </mergeCells>
  <conditionalFormatting sqref="A136">
    <cfRule type="duplicateValues" priority="2" dxfId="0"/>
  </conditionalFormatting>
  <conditionalFormatting sqref="A235:A239">
    <cfRule type="duplicateValues" priority="1" dxfId="0"/>
  </conditionalFormatting>
  <conditionalFormatting sqref="A1:A9 A11:A135 A137:A161 A223:A234 A240:A1048576">
    <cfRule type="duplicateValues" priority="3" dxfId="0"/>
  </conditionalFormatting>
  <pageMargins left="0" right="0" top="0" bottom="0" header="0.3149606299212598" footer="0.3149606299212598"/>
  <pageSetup orientation="landscape" paperSize="9" scale="90"/>
</worksheet>
</file>

<file path=xl/worksheets/sheet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E548"/>
  <sheetViews>
    <sheetView topLeftCell="A321" workbookViewId="0">
      <selection activeCell="C335" sqref="C335"/>
    </sheetView>
  </sheetViews>
  <sheetFormatPr baseColWidth="8" defaultRowHeight="16.5"/>
  <cols>
    <col collapsed="1" width="15.125" customWidth="1" style="744" min="1" max="5"/>
  </cols>
  <sheetData>
    <row r="1">
      <c r="A1" s="554" t="inlineStr">
        <is>
          <t>회사명 : 주식회사 리큐엠 / 2026/08/14</t>
        </is>
      </c>
    </row>
    <row r="2">
      <c r="A2" s="575" t="n"/>
      <c r="B2" s="575" t="n"/>
      <c r="C2" s="739" t="n"/>
      <c r="D2" s="739" t="n"/>
      <c r="E2" s="739" t="n"/>
    </row>
    <row r="3">
      <c r="A3" s="555" t="n"/>
      <c r="B3" s="555" t="n"/>
      <c r="C3" s="741" t="n"/>
      <c r="D3" s="740" t="n"/>
      <c r="E3" s="741" t="n"/>
    </row>
    <row r="4">
      <c r="A4" s="555" t="n"/>
      <c r="B4" s="555" t="n"/>
      <c r="C4" s="741" t="n"/>
      <c r="D4" s="740" t="n"/>
      <c r="E4" s="740" t="n"/>
    </row>
    <row r="5">
      <c r="A5" s="555" t="n"/>
      <c r="B5" s="555" t="n"/>
      <c r="C5" s="741" t="n"/>
      <c r="D5" s="740" t="n"/>
      <c r="E5" s="741" t="n"/>
    </row>
    <row r="6">
      <c r="A6" s="555" t="n"/>
      <c r="B6" s="555" t="n"/>
      <c r="C6" s="740" t="n"/>
      <c r="D6" s="740" t="n"/>
      <c r="E6" s="741" t="n"/>
    </row>
    <row r="7">
      <c r="A7" s="555" t="n"/>
      <c r="B7" s="555" t="n"/>
      <c r="C7" s="740" t="n"/>
      <c r="D7" s="740" t="n"/>
      <c r="E7" s="741" t="n"/>
    </row>
    <row r="8">
      <c r="A8" s="555" t="n"/>
      <c r="B8" s="555" t="n"/>
      <c r="C8" s="740" t="n"/>
      <c r="D8" s="740" t="n"/>
      <c r="E8" s="741" t="n"/>
    </row>
    <row r="9">
      <c r="A9" s="555" t="n"/>
      <c r="B9" s="555" t="n"/>
      <c r="C9" s="740" t="n"/>
      <c r="D9" s="740" t="n"/>
      <c r="E9" s="741" t="n"/>
    </row>
    <row r="10">
      <c r="A10" s="555" t="n"/>
      <c r="B10" s="555" t="n"/>
      <c r="C10" s="740" t="n"/>
      <c r="D10" s="740" t="n"/>
      <c r="E10" s="741" t="n"/>
    </row>
    <row r="11">
      <c r="A11" s="555" t="n"/>
      <c r="B11" s="555" t="n"/>
      <c r="C11" s="740" t="n"/>
      <c r="D11" s="740" t="n"/>
      <c r="E11" s="740" t="n"/>
    </row>
    <row r="12">
      <c r="A12" s="555" t="n"/>
      <c r="B12" s="555" t="n"/>
      <c r="C12" s="741" t="n"/>
      <c r="D12" s="740" t="n"/>
      <c r="E12" s="741" t="n"/>
    </row>
    <row r="13">
      <c r="A13" s="555" t="n"/>
      <c r="B13" s="555" t="n"/>
      <c r="C13" s="741" t="n"/>
      <c r="D13" s="740" t="n"/>
      <c r="E13" s="740" t="n"/>
    </row>
    <row r="14">
      <c r="A14" s="555" t="n"/>
      <c r="B14" s="555" t="n"/>
      <c r="C14" s="741" t="n"/>
      <c r="D14" s="741" t="n"/>
      <c r="E14" s="741" t="n"/>
    </row>
    <row r="15">
      <c r="A15" s="555" t="n"/>
      <c r="B15" s="555" t="n"/>
      <c r="C15" s="741" t="n"/>
      <c r="D15" s="740" t="n"/>
      <c r="E15" s="740" t="n"/>
    </row>
    <row r="16">
      <c r="A16" s="555" t="n"/>
      <c r="B16" s="555" t="n"/>
      <c r="C16" s="741" t="n"/>
      <c r="D16" s="740" t="n"/>
      <c r="E16" s="740" t="n"/>
    </row>
    <row r="17">
      <c r="A17" s="555" t="n"/>
      <c r="B17" s="555" t="n"/>
      <c r="C17" s="741" t="n"/>
      <c r="D17" s="740" t="n"/>
      <c r="E17" s="740" t="n"/>
    </row>
    <row r="18">
      <c r="A18" s="555" t="n"/>
      <c r="B18" s="555" t="n"/>
      <c r="C18" s="741" t="n"/>
      <c r="D18" s="740" t="n"/>
      <c r="E18" s="740" t="n"/>
    </row>
    <row r="19">
      <c r="A19" s="555" t="n"/>
      <c r="B19" s="555" t="n"/>
      <c r="C19" s="741" t="n"/>
      <c r="D19" s="740" t="n"/>
      <c r="E19" s="741" t="n"/>
    </row>
    <row r="20">
      <c r="A20" s="555" t="n"/>
      <c r="B20" s="555" t="n"/>
      <c r="C20" s="741" t="n"/>
      <c r="D20" s="740" t="n"/>
      <c r="E20" s="741" t="n"/>
    </row>
    <row r="21">
      <c r="A21" s="555" t="n"/>
      <c r="B21" s="555" t="n"/>
      <c r="C21" s="741" t="n"/>
      <c r="D21" s="741" t="n"/>
      <c r="E21" s="740" t="n"/>
    </row>
    <row r="22">
      <c r="A22" s="555" t="n"/>
      <c r="B22" s="555" t="n"/>
      <c r="C22" s="741" t="n"/>
      <c r="D22" s="741" t="n"/>
      <c r="E22" s="740" t="n"/>
    </row>
    <row r="23">
      <c r="A23" s="555" t="n"/>
      <c r="B23" s="555" t="n"/>
      <c r="C23" s="740" t="n"/>
      <c r="D23" s="740" t="n"/>
      <c r="E23" s="740" t="n"/>
    </row>
    <row r="24">
      <c r="A24" s="555" t="n"/>
      <c r="B24" s="555" t="n"/>
      <c r="C24" s="741" t="n"/>
      <c r="D24" s="741" t="n"/>
      <c r="E24" s="740" t="n"/>
    </row>
    <row r="25">
      <c r="A25" s="555" t="n"/>
      <c r="B25" s="555" t="n"/>
      <c r="C25" s="741" t="n"/>
      <c r="D25" s="740" t="n"/>
      <c r="E25" s="740" t="n"/>
    </row>
    <row r="26">
      <c r="A26" s="555" t="n"/>
      <c r="B26" s="555" t="n"/>
      <c r="C26" s="741" t="n"/>
      <c r="D26" s="740" t="n"/>
      <c r="E26" s="740" t="n"/>
    </row>
    <row r="27">
      <c r="A27" s="555" t="n"/>
      <c r="B27" s="555" t="n"/>
      <c r="C27" s="741" t="n"/>
      <c r="D27" s="741" t="n"/>
      <c r="E27" s="740" t="n"/>
    </row>
    <row r="28">
      <c r="A28" s="555" t="n"/>
      <c r="B28" s="555" t="n"/>
      <c r="C28" s="741" t="n"/>
      <c r="D28" s="741" t="n"/>
      <c r="E28" s="741" t="n"/>
    </row>
    <row r="29">
      <c r="A29" s="555" t="n"/>
      <c r="B29" s="555" t="n"/>
      <c r="C29" s="741" t="n"/>
      <c r="D29" s="741" t="n"/>
      <c r="E29" s="741" t="n"/>
    </row>
    <row r="30">
      <c r="A30" s="555" t="n"/>
      <c r="B30" s="555" t="n"/>
      <c r="C30" s="741" t="n"/>
      <c r="D30" s="741" t="n"/>
      <c r="E30" s="741" t="n"/>
    </row>
    <row r="31">
      <c r="A31" s="555" t="n"/>
      <c r="B31" s="555" t="n"/>
      <c r="C31" s="741" t="n"/>
      <c r="D31" s="741" t="n"/>
      <c r="E31" s="741" t="n"/>
    </row>
    <row r="32">
      <c r="A32" s="555" t="n"/>
      <c r="B32" s="555" t="n"/>
      <c r="C32" s="741" t="n"/>
      <c r="D32" s="741" t="n"/>
      <c r="E32" s="741" t="n"/>
    </row>
    <row r="33">
      <c r="A33" s="555" t="n"/>
      <c r="B33" s="555" t="n"/>
      <c r="C33" s="741" t="n"/>
      <c r="D33" s="741" t="n"/>
      <c r="E33" s="741" t="n"/>
    </row>
    <row r="34">
      <c r="A34" s="555" t="n"/>
      <c r="B34" s="555" t="n"/>
      <c r="C34" s="741" t="n"/>
      <c r="D34" s="741" t="n"/>
      <c r="E34" s="741" t="n"/>
    </row>
    <row r="35">
      <c r="A35" s="555" t="n"/>
      <c r="B35" s="555" t="n"/>
      <c r="C35" s="741" t="n"/>
      <c r="D35" s="740" t="n"/>
      <c r="E35" s="740" t="n"/>
    </row>
    <row r="36">
      <c r="A36" s="555" t="n"/>
      <c r="B36" s="555" t="n"/>
      <c r="C36" s="741" t="n"/>
      <c r="D36" s="740" t="n"/>
      <c r="E36" s="740" t="n"/>
    </row>
    <row r="37">
      <c r="A37" s="555" t="n"/>
      <c r="B37" s="555" t="n"/>
      <c r="C37" s="741" t="n"/>
      <c r="D37" s="740" t="n"/>
      <c r="E37" s="741" t="n"/>
    </row>
    <row r="38">
      <c r="A38" s="555" t="n"/>
      <c r="B38" s="555" t="n"/>
      <c r="C38" s="741" t="n"/>
      <c r="D38" s="740" t="n"/>
      <c r="E38" s="741" t="n"/>
    </row>
    <row r="39">
      <c r="A39" s="555" t="n"/>
      <c r="B39" s="555" t="n"/>
      <c r="C39" s="741" t="n"/>
      <c r="D39" s="740" t="n"/>
      <c r="E39" s="741" t="n"/>
    </row>
    <row r="40">
      <c r="A40" s="555" t="n"/>
      <c r="B40" s="555" t="n"/>
      <c r="C40" s="741" t="n"/>
      <c r="D40" s="740" t="n"/>
      <c r="E40" s="741" t="n"/>
    </row>
    <row r="41">
      <c r="A41" s="555" t="n"/>
      <c r="B41" s="555" t="n"/>
      <c r="C41" s="741" t="n"/>
      <c r="D41" s="740" t="n"/>
      <c r="E41" s="741" t="n"/>
    </row>
    <row r="42">
      <c r="A42" s="555" t="n"/>
      <c r="B42" s="555" t="n"/>
      <c r="C42" s="741" t="n"/>
      <c r="D42" s="740" t="n"/>
      <c r="E42" s="741" t="n"/>
    </row>
    <row r="43">
      <c r="A43" s="555" t="n"/>
      <c r="B43" s="555" t="n"/>
      <c r="C43" s="741" t="n"/>
      <c r="D43" s="740" t="n"/>
      <c r="E43" s="741" t="n"/>
    </row>
    <row r="44">
      <c r="A44" s="555" t="n"/>
      <c r="B44" s="555" t="n"/>
      <c r="C44" s="741" t="n"/>
      <c r="D44" s="741" t="n"/>
      <c r="E44" s="741" t="n"/>
    </row>
    <row r="45">
      <c r="A45" s="555" t="n"/>
      <c r="B45" s="555" t="n"/>
      <c r="C45" s="741" t="n"/>
      <c r="D45" s="740" t="n"/>
      <c r="E45" s="741" t="n"/>
    </row>
    <row r="46">
      <c r="A46" s="555" t="n"/>
      <c r="B46" s="555" t="n"/>
      <c r="C46" s="740" t="n"/>
      <c r="D46" s="741" t="n"/>
      <c r="E46" s="741" t="n"/>
    </row>
    <row r="47">
      <c r="A47" s="555" t="n"/>
      <c r="B47" s="555" t="n"/>
      <c r="C47" s="740" t="n"/>
      <c r="D47" s="740" t="n"/>
      <c r="E47" s="741" t="n"/>
    </row>
    <row r="48">
      <c r="A48" s="555" t="n"/>
      <c r="B48" s="555" t="n"/>
      <c r="C48" s="740" t="n"/>
      <c r="D48" s="740" t="n"/>
      <c r="E48" s="741" t="n"/>
    </row>
    <row r="49">
      <c r="A49" s="555" t="n"/>
      <c r="B49" s="555" t="n"/>
      <c r="C49" s="740" t="n"/>
      <c r="D49" s="740" t="n"/>
      <c r="E49" s="741" t="n"/>
    </row>
    <row r="50">
      <c r="A50" s="555" t="n"/>
      <c r="B50" s="555" t="n"/>
      <c r="C50" s="740" t="n"/>
      <c r="D50" s="740" t="n"/>
      <c r="E50" s="741" t="n"/>
    </row>
    <row r="51">
      <c r="A51" s="555" t="n"/>
      <c r="B51" s="555" t="n"/>
      <c r="C51" s="740" t="n"/>
      <c r="D51" s="740" t="n"/>
      <c r="E51" s="741" t="n"/>
    </row>
    <row r="52">
      <c r="A52" s="555" t="n"/>
      <c r="B52" s="555" t="n"/>
      <c r="C52" s="740" t="n"/>
      <c r="D52" s="740" t="n"/>
      <c r="E52" s="741" t="n"/>
    </row>
    <row r="53">
      <c r="A53" s="555" t="n"/>
      <c r="B53" s="555" t="n"/>
      <c r="C53" s="740" t="n"/>
      <c r="D53" s="740" t="n"/>
      <c r="E53" s="740" t="n"/>
    </row>
    <row r="54">
      <c r="A54" s="555" t="n"/>
      <c r="B54" s="555" t="n"/>
      <c r="C54" s="740" t="n"/>
      <c r="D54" s="740" t="n"/>
      <c r="E54" s="741" t="n"/>
    </row>
    <row r="55">
      <c r="A55" s="555" t="n"/>
      <c r="B55" s="555" t="n"/>
      <c r="C55" s="740" t="n"/>
      <c r="D55" s="740" t="n"/>
      <c r="E55" s="741" t="n"/>
    </row>
    <row r="56">
      <c r="A56" s="555" t="n"/>
      <c r="B56" s="555" t="n"/>
      <c r="C56" s="740" t="n"/>
      <c r="D56" s="740" t="n"/>
      <c r="E56" s="741" t="n"/>
    </row>
    <row r="57">
      <c r="A57" s="555" t="n"/>
      <c r="B57" s="555" t="n"/>
      <c r="C57" s="740" t="n"/>
      <c r="D57" s="740" t="n"/>
      <c r="E57" s="740" t="n"/>
    </row>
    <row r="58">
      <c r="A58" s="555" t="n"/>
      <c r="B58" s="555" t="n"/>
      <c r="C58" s="740" t="n"/>
      <c r="D58" s="740" t="n"/>
      <c r="E58" s="741" t="n"/>
    </row>
    <row r="59">
      <c r="A59" s="555" t="n"/>
      <c r="B59" s="555" t="n"/>
      <c r="C59" s="740" t="n"/>
      <c r="D59" s="740" t="n"/>
      <c r="E59" s="741" t="n"/>
    </row>
    <row r="60">
      <c r="A60" s="555" t="n"/>
      <c r="B60" s="555" t="n"/>
      <c r="C60" s="740" t="n"/>
      <c r="D60" s="740" t="n"/>
      <c r="E60" s="740" t="n"/>
    </row>
    <row r="61">
      <c r="A61" s="555" t="n"/>
      <c r="B61" s="555" t="n"/>
      <c r="C61" s="740" t="n"/>
      <c r="D61" s="740" t="n"/>
      <c r="E61" s="740" t="n"/>
    </row>
    <row r="62">
      <c r="A62" s="555" t="n"/>
      <c r="B62" s="555" t="n"/>
      <c r="C62" s="740" t="n"/>
      <c r="D62" s="740" t="n"/>
      <c r="E62" s="741" t="n"/>
    </row>
    <row r="63">
      <c r="A63" s="555" t="n"/>
      <c r="B63" s="555" t="n"/>
      <c r="C63" s="740" t="n"/>
      <c r="D63" s="740" t="n"/>
      <c r="E63" s="740" t="n"/>
    </row>
    <row r="64">
      <c r="A64" s="555" t="n"/>
      <c r="B64" s="555" t="n"/>
      <c r="C64" s="740" t="n"/>
      <c r="D64" s="740" t="n"/>
      <c r="E64" s="740" t="n"/>
    </row>
    <row r="65">
      <c r="A65" s="555" t="n"/>
      <c r="B65" s="555" t="n"/>
      <c r="C65" s="740" t="n"/>
      <c r="D65" s="740" t="n"/>
      <c r="E65" s="741" t="n"/>
    </row>
    <row r="66">
      <c r="A66" s="555" t="n"/>
      <c r="B66" s="555" t="n"/>
      <c r="C66" s="740" t="n"/>
      <c r="D66" s="740" t="n"/>
      <c r="E66" s="741" t="n"/>
    </row>
    <row r="67">
      <c r="A67" s="555" t="n"/>
      <c r="B67" s="555" t="n"/>
      <c r="C67" s="740" t="n"/>
      <c r="D67" s="740" t="n"/>
      <c r="E67" s="741" t="n"/>
    </row>
    <row r="68">
      <c r="A68" s="555" t="n"/>
      <c r="B68" s="555" t="n"/>
      <c r="C68" s="740" t="n"/>
      <c r="D68" s="740" t="n"/>
      <c r="E68" s="741" t="n"/>
    </row>
    <row r="69">
      <c r="A69" s="555" t="n"/>
      <c r="B69" s="555" t="n"/>
      <c r="C69" s="740" t="n"/>
      <c r="D69" s="740" t="n"/>
      <c r="E69" s="741" t="n"/>
    </row>
    <row r="70">
      <c r="A70" s="555" t="n"/>
      <c r="B70" s="555" t="n"/>
      <c r="C70" s="740" t="n"/>
      <c r="D70" s="740" t="n"/>
      <c r="E70" s="741" t="n"/>
    </row>
    <row r="71">
      <c r="A71" s="555" t="n"/>
      <c r="B71" s="555" t="n"/>
      <c r="C71" s="740" t="n"/>
      <c r="D71" s="740" t="n"/>
      <c r="E71" s="741" t="n"/>
    </row>
    <row r="72">
      <c r="A72" s="555" t="n"/>
      <c r="B72" s="555" t="n"/>
      <c r="C72" s="740" t="n"/>
      <c r="D72" s="740" t="n"/>
      <c r="E72" s="741" t="n"/>
    </row>
    <row r="73">
      <c r="A73" s="555" t="n"/>
      <c r="B73" s="555" t="n"/>
      <c r="C73" s="740" t="n"/>
      <c r="D73" s="740" t="n"/>
      <c r="E73" s="741" t="n"/>
    </row>
    <row r="74">
      <c r="A74" s="555" t="n"/>
      <c r="B74" s="555" t="n"/>
      <c r="C74" s="740" t="n"/>
      <c r="D74" s="740" t="n"/>
      <c r="E74" s="740" t="n"/>
    </row>
    <row r="75">
      <c r="A75" s="555" t="n"/>
      <c r="B75" s="555" t="n"/>
      <c r="C75" s="740" t="n"/>
      <c r="D75" s="740" t="n"/>
      <c r="E75" s="740" t="n"/>
    </row>
    <row r="76">
      <c r="A76" s="555" t="n"/>
      <c r="B76" s="555" t="n"/>
      <c r="C76" s="740" t="n"/>
      <c r="D76" s="740" t="n"/>
      <c r="E76" s="741" t="n"/>
    </row>
    <row r="77">
      <c r="A77" s="555" t="n"/>
      <c r="B77" s="555" t="n"/>
      <c r="C77" s="740" t="n"/>
      <c r="D77" s="740" t="n"/>
      <c r="E77" s="740" t="n"/>
    </row>
    <row r="78">
      <c r="A78" s="555" t="n"/>
      <c r="B78" s="555" t="n"/>
      <c r="C78" s="740" t="n"/>
      <c r="D78" s="740" t="n"/>
      <c r="E78" s="740" t="n"/>
    </row>
    <row r="79">
      <c r="A79" s="555" t="n"/>
      <c r="B79" s="555" t="n"/>
      <c r="C79" s="740" t="n"/>
      <c r="D79" s="740" t="n"/>
      <c r="E79" s="741" t="n"/>
    </row>
    <row r="80">
      <c r="A80" s="555" t="n"/>
      <c r="B80" s="555" t="n"/>
      <c r="C80" s="740" t="n"/>
      <c r="D80" s="740" t="n"/>
      <c r="E80" s="741" t="n"/>
    </row>
    <row r="81">
      <c r="A81" s="555" t="n"/>
      <c r="B81" s="555" t="n"/>
      <c r="C81" s="740" t="n"/>
      <c r="D81" s="740" t="n"/>
      <c r="E81" s="741" t="n"/>
    </row>
    <row r="82">
      <c r="A82" s="555" t="n"/>
      <c r="B82" s="555" t="n"/>
      <c r="C82" s="740" t="n"/>
      <c r="D82" s="740" t="n"/>
      <c r="E82" s="740" t="n"/>
    </row>
    <row r="83">
      <c r="A83" s="555" t="n"/>
      <c r="B83" s="555" t="n"/>
      <c r="C83" s="740" t="n"/>
      <c r="D83" s="740" t="n"/>
      <c r="E83" s="740" t="n"/>
    </row>
    <row r="84">
      <c r="A84" s="555" t="n"/>
      <c r="B84" s="555" t="n"/>
      <c r="C84" s="740" t="n"/>
      <c r="D84" s="740" t="n"/>
      <c r="E84" s="740" t="n"/>
    </row>
    <row r="85">
      <c r="A85" s="555" t="n"/>
      <c r="B85" s="555" t="n"/>
      <c r="C85" s="740" t="n"/>
      <c r="D85" s="740" t="n"/>
      <c r="E85" s="740" t="n"/>
    </row>
    <row r="86">
      <c r="A86" s="555" t="n"/>
      <c r="B86" s="555" t="n"/>
      <c r="C86" s="741" t="n"/>
      <c r="D86" s="740" t="n"/>
      <c r="E86" s="740" t="n"/>
    </row>
    <row r="87">
      <c r="A87" s="555" t="n"/>
      <c r="B87" s="555" t="n"/>
      <c r="C87" s="741" t="n"/>
      <c r="D87" s="740" t="n"/>
      <c r="E87" s="741" t="n"/>
    </row>
    <row r="88">
      <c r="A88" s="555" t="n"/>
      <c r="B88" s="555" t="n"/>
      <c r="C88" s="741" t="n"/>
      <c r="D88" s="740" t="n"/>
      <c r="E88" s="740" t="n"/>
    </row>
    <row r="89">
      <c r="A89" s="555" t="n"/>
      <c r="B89" s="555" t="n"/>
      <c r="C89" s="741" t="n"/>
      <c r="D89" s="740" t="n"/>
      <c r="E89" s="740" t="n"/>
    </row>
    <row r="90">
      <c r="A90" s="555" t="n"/>
      <c r="B90" s="555" t="n"/>
      <c r="C90" s="740" t="n"/>
      <c r="D90" s="740" t="n"/>
      <c r="E90" s="740" t="n"/>
    </row>
    <row r="91">
      <c r="A91" s="555" t="n"/>
      <c r="B91" s="555" t="n"/>
      <c r="C91" s="741" t="n"/>
      <c r="D91" s="740" t="n"/>
      <c r="E91" s="741" t="n"/>
    </row>
    <row r="92">
      <c r="A92" s="555" t="n"/>
      <c r="B92" s="555" t="n"/>
      <c r="C92" s="741" t="n"/>
      <c r="D92" s="740" t="n"/>
      <c r="E92" s="740" t="n"/>
    </row>
    <row r="93">
      <c r="A93" s="555" t="n"/>
      <c r="B93" s="555" t="n"/>
      <c r="C93" s="741" t="n"/>
      <c r="D93" s="740" t="n"/>
      <c r="E93" s="740" t="n"/>
    </row>
    <row r="94">
      <c r="A94" s="555" t="n"/>
      <c r="B94" s="555" t="n"/>
      <c r="C94" s="741" t="n"/>
      <c r="D94" s="740" t="n"/>
      <c r="E94" s="741" t="n"/>
    </row>
    <row r="95">
      <c r="A95" s="555" t="n"/>
      <c r="B95" s="555" t="n"/>
      <c r="C95" s="741" t="n"/>
      <c r="D95" s="740" t="n"/>
      <c r="E95" s="740" t="n"/>
    </row>
    <row r="96">
      <c r="A96" s="555" t="n"/>
      <c r="B96" s="555" t="n"/>
      <c r="C96" s="741" t="n"/>
      <c r="D96" s="740" t="n"/>
      <c r="E96" s="740" t="n"/>
    </row>
    <row r="97">
      <c r="A97" s="555" t="n"/>
      <c r="B97" s="555" t="n"/>
      <c r="C97" s="741" t="n"/>
      <c r="D97" s="740" t="n"/>
      <c r="E97" s="740" t="n"/>
    </row>
    <row r="98">
      <c r="A98" s="555" t="n"/>
      <c r="B98" s="555" t="n"/>
      <c r="C98" s="741" t="n"/>
      <c r="D98" s="740" t="n"/>
      <c r="E98" s="740" t="n"/>
    </row>
    <row r="99">
      <c r="A99" s="555" t="n"/>
      <c r="B99" s="555" t="n"/>
      <c r="C99" s="741" t="n"/>
      <c r="D99" s="741" t="n"/>
      <c r="E99" s="741" t="n"/>
    </row>
    <row r="100">
      <c r="A100" s="555" t="n"/>
      <c r="B100" s="555" t="n"/>
      <c r="C100" s="741" t="n"/>
      <c r="D100" s="740" t="n"/>
      <c r="E100" s="741" t="n"/>
    </row>
    <row r="101">
      <c r="A101" s="555" t="n"/>
      <c r="B101" s="555" t="n"/>
      <c r="C101" s="741" t="n"/>
      <c r="D101" s="740" t="n"/>
      <c r="E101" s="741" t="n"/>
    </row>
    <row r="102">
      <c r="A102" s="555" t="n"/>
      <c r="B102" s="555" t="n"/>
      <c r="C102" s="741" t="n"/>
      <c r="D102" s="740" t="n"/>
      <c r="E102" s="741" t="n"/>
    </row>
    <row r="103">
      <c r="A103" s="555" t="n"/>
      <c r="B103" s="555" t="n"/>
      <c r="C103" s="741" t="n"/>
      <c r="D103" s="740" t="n"/>
      <c r="E103" s="741" t="n"/>
    </row>
    <row r="104">
      <c r="A104" s="555" t="n"/>
      <c r="B104" s="555" t="n"/>
      <c r="C104" s="741" t="n"/>
      <c r="D104" s="740" t="n"/>
      <c r="E104" s="741" t="n"/>
    </row>
    <row r="105">
      <c r="A105" s="555" t="n"/>
      <c r="B105" s="555" t="n"/>
      <c r="C105" s="741" t="n"/>
      <c r="D105" s="740" t="n"/>
      <c r="E105" s="741" t="n"/>
    </row>
    <row r="106">
      <c r="A106" s="555" t="n"/>
      <c r="B106" s="555" t="n"/>
      <c r="C106" s="741" t="n"/>
      <c r="D106" s="740" t="n"/>
      <c r="E106" s="740" t="n"/>
    </row>
    <row r="107">
      <c r="A107" s="555" t="n"/>
      <c r="B107" s="555" t="n"/>
      <c r="C107" s="741" t="n"/>
      <c r="D107" s="741" t="n"/>
      <c r="E107" s="740" t="n"/>
    </row>
    <row r="108">
      <c r="A108" s="555" t="n"/>
      <c r="B108" s="555" t="n"/>
      <c r="C108" s="741" t="n"/>
      <c r="D108" s="741" t="n"/>
      <c r="E108" s="740" t="n"/>
    </row>
    <row r="109">
      <c r="A109" s="555" t="n"/>
      <c r="B109" s="555" t="n"/>
      <c r="C109" s="741" t="n"/>
      <c r="D109" s="741" t="n"/>
      <c r="E109" s="740" t="n"/>
    </row>
    <row r="110">
      <c r="A110" s="555" t="n"/>
      <c r="B110" s="555" t="n"/>
      <c r="C110" s="741" t="n"/>
      <c r="D110" s="740" t="n"/>
      <c r="E110" s="740" t="n"/>
    </row>
    <row r="111">
      <c r="A111" s="555" t="n"/>
      <c r="B111" s="555" t="n"/>
      <c r="C111" s="741" t="n"/>
      <c r="D111" s="741" t="n"/>
      <c r="E111" s="740" t="n"/>
    </row>
    <row r="112">
      <c r="A112" s="555" t="n"/>
      <c r="B112" s="555" t="n"/>
      <c r="C112" s="741" t="n"/>
      <c r="D112" s="740" t="n"/>
      <c r="E112" s="741" t="n"/>
    </row>
    <row r="113">
      <c r="A113" s="555" t="n"/>
      <c r="B113" s="555" t="n"/>
      <c r="C113" s="741" t="n"/>
      <c r="D113" s="740" t="n"/>
      <c r="E113" s="741" t="n"/>
    </row>
    <row r="114">
      <c r="A114" s="555" t="n"/>
      <c r="B114" s="555" t="n"/>
      <c r="C114" s="741" t="n"/>
      <c r="D114" s="740" t="n"/>
      <c r="E114" s="741" t="n"/>
    </row>
    <row r="115">
      <c r="A115" s="555" t="n"/>
      <c r="B115" s="555" t="n"/>
      <c r="C115" s="740" t="n"/>
      <c r="D115" s="740" t="n"/>
      <c r="E115" s="741" t="n"/>
    </row>
    <row r="116">
      <c r="A116" s="555" t="n"/>
      <c r="B116" s="555" t="n"/>
      <c r="C116" s="740" t="n"/>
      <c r="D116" s="740" t="n"/>
      <c r="E116" s="741" t="n"/>
    </row>
    <row r="117">
      <c r="A117" s="555" t="n"/>
      <c r="B117" s="555" t="n"/>
      <c r="C117" s="740" t="n"/>
      <c r="D117" s="740" t="n"/>
      <c r="E117" s="741" t="n"/>
    </row>
    <row r="118">
      <c r="A118" s="555" t="n"/>
      <c r="B118" s="555" t="n"/>
      <c r="C118" s="741" t="n"/>
      <c r="D118" s="740" t="n"/>
      <c r="E118" s="740" t="n"/>
    </row>
    <row r="119">
      <c r="A119" s="555" t="n"/>
      <c r="B119" s="555" t="n"/>
      <c r="C119" s="741" t="n"/>
      <c r="D119" s="741" t="n"/>
      <c r="E119" s="740" t="n"/>
    </row>
    <row r="120">
      <c r="A120" s="555" t="n"/>
      <c r="B120" s="555" t="n"/>
      <c r="C120" s="741" t="n"/>
      <c r="D120" s="741" t="n"/>
      <c r="E120" s="740" t="n"/>
    </row>
    <row r="121">
      <c r="A121" s="555" t="n"/>
      <c r="B121" s="555" t="n"/>
      <c r="C121" s="741" t="n"/>
      <c r="D121" s="741" t="n"/>
      <c r="E121" s="740" t="n"/>
    </row>
    <row r="122">
      <c r="A122" s="555" t="n"/>
      <c r="B122" s="555" t="n"/>
      <c r="C122" s="741" t="n"/>
      <c r="D122" s="740" t="n"/>
      <c r="E122" s="741" t="n"/>
    </row>
    <row r="123">
      <c r="A123" s="555" t="n"/>
      <c r="B123" s="555" t="n"/>
      <c r="C123" s="741" t="n"/>
      <c r="D123" s="740" t="n"/>
      <c r="E123" s="741" t="n"/>
    </row>
    <row r="124">
      <c r="A124" s="555" t="n"/>
      <c r="B124" s="555" t="n"/>
      <c r="C124" s="741" t="n"/>
      <c r="D124" s="740" t="n"/>
      <c r="E124" s="741" t="n"/>
    </row>
    <row r="125">
      <c r="A125" s="555" t="n"/>
      <c r="B125" s="555" t="n"/>
      <c r="C125" s="741" t="n"/>
      <c r="D125" s="740" t="n"/>
      <c r="E125" s="741" t="n"/>
    </row>
    <row r="126">
      <c r="A126" s="555" t="n"/>
      <c r="B126" s="555" t="n"/>
      <c r="C126" s="741" t="n"/>
      <c r="D126" s="741" t="n"/>
      <c r="E126" s="740" t="n"/>
    </row>
    <row r="127">
      <c r="A127" s="555" t="n"/>
      <c r="B127" s="555" t="n"/>
      <c r="C127" s="741" t="n"/>
      <c r="D127" s="740" t="n"/>
      <c r="E127" s="740" t="n"/>
    </row>
    <row r="128">
      <c r="A128" s="555" t="n"/>
      <c r="B128" s="555" t="n"/>
      <c r="C128" s="741" t="n"/>
      <c r="D128" s="740" t="n"/>
      <c r="E128" s="740" t="n"/>
    </row>
    <row r="129">
      <c r="A129" s="555" t="n"/>
      <c r="B129" s="555" t="n"/>
      <c r="C129" s="741" t="n"/>
      <c r="D129" s="740" t="n"/>
      <c r="E129" s="740" t="n"/>
    </row>
    <row r="130">
      <c r="A130" s="555" t="n"/>
      <c r="B130" s="555" t="n"/>
      <c r="C130" s="741" t="n"/>
      <c r="D130" s="740" t="n"/>
      <c r="E130" s="741" t="n"/>
    </row>
    <row r="131">
      <c r="A131" s="555" t="n"/>
      <c r="B131" s="555" t="n"/>
      <c r="C131" s="741" t="n"/>
      <c r="D131" s="740" t="n"/>
      <c r="E131" s="740" t="n"/>
    </row>
    <row r="132">
      <c r="A132" s="555" t="n"/>
      <c r="B132" s="555" t="n"/>
      <c r="C132" s="741" t="n"/>
      <c r="D132" s="740" t="n"/>
      <c r="E132" s="740" t="n"/>
    </row>
    <row r="133">
      <c r="A133" s="555" t="n"/>
      <c r="B133" s="555" t="n"/>
      <c r="C133" s="741" t="n"/>
      <c r="D133" s="740" t="n"/>
      <c r="E133" s="741" t="n"/>
    </row>
    <row r="134">
      <c r="A134" s="555" t="n"/>
      <c r="B134" s="555" t="n"/>
      <c r="C134" s="741" t="n"/>
      <c r="D134" s="741" t="n"/>
      <c r="E134" s="741" t="n"/>
    </row>
    <row r="135">
      <c r="A135" s="555" t="n"/>
      <c r="B135" s="555" t="n"/>
      <c r="C135" s="740" t="n"/>
      <c r="D135" s="740" t="n"/>
      <c r="E135" s="740" t="n"/>
    </row>
    <row r="136">
      <c r="A136" s="555" t="n"/>
      <c r="B136" s="555" t="n"/>
      <c r="C136" s="741" t="n"/>
      <c r="D136" s="740" t="n"/>
      <c r="E136" s="740" t="n"/>
    </row>
    <row r="137">
      <c r="A137" s="555" t="n"/>
      <c r="B137" s="555" t="n"/>
      <c r="C137" s="741" t="n"/>
      <c r="D137" s="741" t="n"/>
      <c r="E137" s="741" t="n"/>
    </row>
    <row r="138">
      <c r="A138" s="555" t="n"/>
      <c r="B138" s="555" t="n"/>
      <c r="C138" s="741" t="n"/>
      <c r="D138" s="740" t="n"/>
      <c r="E138" s="741" t="n"/>
    </row>
    <row r="139">
      <c r="A139" s="555" t="n"/>
      <c r="B139" s="555" t="n"/>
      <c r="C139" s="741" t="n"/>
      <c r="D139" s="740" t="n"/>
      <c r="E139" s="741" t="n"/>
    </row>
    <row r="140">
      <c r="A140" s="555" t="n"/>
      <c r="B140" s="555" t="n"/>
      <c r="C140" s="741" t="n"/>
      <c r="D140" s="740" t="n"/>
      <c r="E140" s="741" t="n"/>
    </row>
    <row r="141">
      <c r="A141" s="555" t="n"/>
      <c r="B141" s="555" t="n"/>
      <c r="C141" s="741" t="n"/>
      <c r="D141" s="740" t="n"/>
      <c r="E141" s="741" t="n"/>
    </row>
    <row r="142">
      <c r="A142" s="555" t="n"/>
      <c r="B142" s="555" t="n"/>
      <c r="C142" s="741" t="n"/>
      <c r="D142" s="740" t="n"/>
      <c r="E142" s="741" t="n"/>
    </row>
    <row r="143">
      <c r="A143" s="555" t="n"/>
      <c r="B143" s="555" t="n"/>
      <c r="C143" s="741" t="n"/>
      <c r="D143" s="740" t="n"/>
      <c r="E143" s="741" t="n"/>
    </row>
    <row r="144">
      <c r="A144" s="555" t="n"/>
      <c r="B144" s="555" t="n"/>
      <c r="C144" s="741" t="n"/>
      <c r="D144" s="740" t="n"/>
      <c r="E144" s="741" t="n"/>
    </row>
    <row r="145">
      <c r="A145" s="555" t="n"/>
      <c r="B145" s="555" t="n"/>
      <c r="C145" s="741" t="n"/>
      <c r="D145" s="740" t="n"/>
      <c r="E145" s="741" t="n"/>
    </row>
    <row r="146">
      <c r="A146" s="555" t="n"/>
      <c r="B146" s="555" t="n"/>
      <c r="C146" s="741" t="n"/>
      <c r="D146" s="740" t="n"/>
      <c r="E146" s="741" t="n"/>
    </row>
    <row r="147">
      <c r="A147" s="555" t="n"/>
      <c r="B147" s="555" t="n"/>
      <c r="C147" s="741" t="n"/>
      <c r="D147" s="740" t="n"/>
      <c r="E147" s="741" t="n"/>
    </row>
    <row r="148">
      <c r="A148" s="555" t="n"/>
      <c r="B148" s="555" t="n"/>
      <c r="C148" s="741" t="n"/>
      <c r="D148" s="740" t="n"/>
      <c r="E148" s="740" t="n"/>
    </row>
    <row r="149">
      <c r="A149" s="555" t="n"/>
      <c r="B149" s="555" t="n"/>
      <c r="C149" s="741" t="n"/>
      <c r="D149" s="740" t="n"/>
      <c r="E149" s="741" t="n"/>
    </row>
    <row r="150">
      <c r="A150" s="555" t="n"/>
      <c r="B150" s="555" t="n"/>
      <c r="C150" s="741" t="n"/>
      <c r="D150" s="740" t="n"/>
      <c r="E150" s="740" t="n"/>
    </row>
    <row r="151">
      <c r="A151" s="555" t="n"/>
      <c r="B151" s="555" t="n"/>
      <c r="C151" s="741" t="n"/>
      <c r="D151" s="740" t="n"/>
      <c r="E151" s="740" t="n"/>
    </row>
    <row r="152">
      <c r="A152" s="555" t="n"/>
      <c r="B152" s="555" t="n"/>
      <c r="C152" s="741" t="n"/>
      <c r="D152" s="740" t="n"/>
      <c r="E152" s="741" t="n"/>
    </row>
    <row r="153">
      <c r="A153" s="555" t="n"/>
      <c r="B153" s="555" t="n"/>
      <c r="C153" s="741" t="n"/>
      <c r="D153" s="740" t="n"/>
      <c r="E153" s="741" t="n"/>
    </row>
    <row r="154">
      <c r="A154" s="555" t="n"/>
      <c r="B154" s="555" t="n"/>
      <c r="C154" s="741" t="n"/>
      <c r="D154" s="741" t="n"/>
      <c r="E154" s="740" t="n"/>
    </row>
    <row r="155">
      <c r="A155" s="555" t="n"/>
      <c r="B155" s="555" t="n"/>
      <c r="C155" s="741" t="n"/>
      <c r="D155" s="740" t="n"/>
      <c r="E155" s="741" t="n"/>
    </row>
    <row r="156">
      <c r="A156" s="555" t="n"/>
      <c r="B156" s="555" t="n"/>
      <c r="C156" s="741" t="n"/>
      <c r="D156" s="740" t="n"/>
      <c r="E156" s="741" t="n"/>
    </row>
    <row r="157">
      <c r="A157" s="555" t="n"/>
      <c r="B157" s="555" t="n"/>
      <c r="C157" s="741" t="n"/>
      <c r="D157" s="740" t="n"/>
      <c r="E157" s="741" t="n"/>
    </row>
    <row r="158">
      <c r="A158" s="555" t="n"/>
      <c r="B158" s="555" t="n"/>
      <c r="C158" s="741" t="n"/>
      <c r="D158" s="740" t="n"/>
      <c r="E158" s="741" t="n"/>
    </row>
    <row r="159">
      <c r="A159" s="555" t="n"/>
      <c r="B159" s="555" t="n"/>
      <c r="C159" s="741" t="n"/>
      <c r="D159" s="740" t="n"/>
      <c r="E159" s="740" t="n"/>
    </row>
    <row r="160">
      <c r="A160" s="555" t="n"/>
      <c r="B160" s="555" t="n"/>
      <c r="C160" s="740" t="n"/>
      <c r="D160" s="740" t="n"/>
      <c r="E160" s="740" t="n"/>
    </row>
    <row r="161">
      <c r="A161" s="555" t="n"/>
      <c r="B161" s="555" t="n"/>
      <c r="C161" s="741" t="n"/>
      <c r="D161" s="740" t="n"/>
      <c r="E161" s="740" t="n"/>
    </row>
    <row r="162">
      <c r="A162" s="555" t="n"/>
      <c r="B162" s="555" t="n"/>
      <c r="C162" s="741" t="n"/>
      <c r="D162" s="740" t="n"/>
      <c r="E162" s="741" t="n"/>
    </row>
    <row r="163">
      <c r="A163" s="555" t="n"/>
      <c r="B163" s="555" t="n"/>
      <c r="C163" s="741" t="n"/>
      <c r="D163" s="740" t="n"/>
      <c r="E163" s="741" t="n"/>
    </row>
    <row r="164">
      <c r="A164" s="555" t="n"/>
      <c r="B164" s="555" t="n"/>
      <c r="C164" s="741" t="n"/>
      <c r="D164" s="740" t="n"/>
      <c r="E164" s="741" t="n"/>
    </row>
    <row r="165">
      <c r="A165" s="555" t="n"/>
      <c r="B165" s="555" t="n"/>
      <c r="C165" s="741" t="n"/>
      <c r="D165" s="740" t="n"/>
      <c r="E165" s="741" t="n"/>
    </row>
    <row r="166">
      <c r="A166" s="555" t="n"/>
      <c r="B166" s="555" t="n"/>
      <c r="C166" s="741" t="n"/>
      <c r="D166" s="740" t="n"/>
      <c r="E166" s="741" t="n"/>
    </row>
    <row r="167">
      <c r="A167" s="555" t="n"/>
      <c r="B167" s="555" t="n"/>
      <c r="C167" s="741" t="n"/>
      <c r="D167" s="740" t="n"/>
      <c r="E167" s="741" t="n"/>
    </row>
    <row r="168">
      <c r="A168" s="555" t="n"/>
      <c r="B168" s="555" t="n"/>
      <c r="C168" s="741" t="n"/>
      <c r="D168" s="740" t="n"/>
      <c r="E168" s="741" t="n"/>
    </row>
    <row r="169">
      <c r="A169" s="555" t="n"/>
      <c r="B169" s="555" t="n"/>
      <c r="C169" s="741" t="n"/>
      <c r="D169" s="741" t="n"/>
      <c r="E169" s="741" t="n"/>
    </row>
    <row r="170">
      <c r="A170" s="555" t="n"/>
      <c r="B170" s="555" t="n"/>
      <c r="C170" s="741" t="n"/>
      <c r="D170" s="740" t="n"/>
      <c r="E170" s="741" t="n"/>
    </row>
    <row r="171">
      <c r="A171" s="555" t="n"/>
      <c r="B171" s="555" t="n"/>
      <c r="C171" s="741" t="n"/>
      <c r="D171" s="740" t="n"/>
      <c r="E171" s="740" t="n"/>
    </row>
    <row r="172">
      <c r="A172" s="555" t="n"/>
      <c r="B172" s="555" t="n"/>
      <c r="C172" s="741" t="n"/>
      <c r="D172" s="740" t="n"/>
      <c r="E172" s="741" t="n"/>
    </row>
    <row r="173">
      <c r="A173" s="555" t="n"/>
      <c r="B173" s="555" t="n"/>
      <c r="C173" s="741" t="n"/>
      <c r="D173" s="740" t="n"/>
      <c r="E173" s="741" t="n"/>
    </row>
    <row r="174">
      <c r="A174" s="555" t="n"/>
      <c r="B174" s="555" t="n"/>
      <c r="C174" s="741" t="n"/>
      <c r="D174" s="740" t="n"/>
      <c r="E174" s="740" t="n"/>
    </row>
    <row r="175">
      <c r="A175" s="555" t="n"/>
      <c r="B175" s="555" t="n"/>
      <c r="C175" s="741" t="n"/>
      <c r="D175" s="740" t="n"/>
      <c r="E175" s="741" t="n"/>
    </row>
    <row r="176">
      <c r="A176" s="555" t="n"/>
      <c r="B176" s="555" t="n"/>
      <c r="C176" s="741" t="n"/>
      <c r="D176" s="740" t="n"/>
      <c r="E176" s="741" t="n"/>
    </row>
    <row r="177">
      <c r="A177" s="555" t="n"/>
      <c r="B177" s="555" t="n"/>
      <c r="C177" s="741" t="n"/>
      <c r="D177" s="740" t="n"/>
      <c r="E177" s="740" t="n"/>
    </row>
    <row r="178">
      <c r="A178" s="555" t="n"/>
      <c r="B178" s="555" t="n"/>
      <c r="C178" s="741" t="n"/>
      <c r="D178" s="740" t="n"/>
      <c r="E178" s="740" t="n"/>
    </row>
    <row r="179">
      <c r="A179" s="555" t="n"/>
      <c r="B179" s="555" t="n"/>
      <c r="C179" s="741" t="n"/>
      <c r="D179" s="740" t="n"/>
      <c r="E179" s="740" t="n"/>
    </row>
    <row r="180">
      <c r="A180" s="555" t="n"/>
      <c r="B180" s="555" t="n"/>
      <c r="C180" s="741" t="n"/>
      <c r="D180" s="740" t="n"/>
      <c r="E180" s="741" t="n"/>
    </row>
    <row r="181">
      <c r="A181" s="555" t="n"/>
      <c r="B181" s="555" t="n"/>
      <c r="C181" s="741" t="n"/>
      <c r="D181" s="740" t="n"/>
      <c r="E181" s="741" t="n"/>
    </row>
    <row r="182">
      <c r="A182" s="555" t="n"/>
      <c r="B182" s="555" t="n"/>
      <c r="C182" s="741" t="n"/>
      <c r="D182" s="741" t="n"/>
      <c r="E182" s="740" t="n"/>
    </row>
    <row r="183">
      <c r="A183" s="555" t="n"/>
      <c r="B183" s="555" t="n"/>
      <c r="C183" s="741" t="n"/>
      <c r="D183" s="741" t="n"/>
      <c r="E183" s="741" t="n"/>
    </row>
    <row r="184">
      <c r="A184" s="555" t="n"/>
      <c r="B184" s="555" t="n"/>
      <c r="C184" s="741" t="n"/>
      <c r="D184" s="740" t="n"/>
      <c r="E184" s="741" t="n"/>
    </row>
    <row r="185">
      <c r="A185" s="555" t="n"/>
      <c r="B185" s="555" t="n"/>
      <c r="C185" s="741" t="n"/>
      <c r="D185" s="740" t="n"/>
      <c r="E185" s="740" t="n"/>
    </row>
    <row r="186">
      <c r="A186" s="555" t="n"/>
      <c r="B186" s="555" t="n"/>
      <c r="C186" s="741" t="n"/>
      <c r="D186" s="740" t="n"/>
      <c r="E186" s="741" t="n"/>
    </row>
    <row r="187">
      <c r="A187" s="555" t="n"/>
      <c r="B187" s="555" t="n"/>
      <c r="C187" s="741" t="n"/>
      <c r="D187" s="740" t="n"/>
      <c r="E187" s="741" t="n"/>
    </row>
    <row r="188">
      <c r="A188" s="555" t="n"/>
      <c r="B188" s="555" t="n"/>
      <c r="C188" s="741" t="n"/>
      <c r="D188" s="740" t="n"/>
      <c r="E188" s="741" t="n"/>
    </row>
    <row r="189">
      <c r="A189" s="555" t="n"/>
      <c r="B189" s="555" t="n"/>
      <c r="C189" s="741" t="n"/>
      <c r="D189" s="740" t="n"/>
      <c r="E189" s="740" t="n"/>
    </row>
    <row r="190">
      <c r="A190" s="555" t="n"/>
      <c r="B190" s="555" t="n"/>
      <c r="C190" s="741" t="n"/>
      <c r="D190" s="740" t="n"/>
      <c r="E190" s="741" t="n"/>
    </row>
    <row r="191">
      <c r="A191" s="555" t="n"/>
      <c r="B191" s="555" t="n"/>
      <c r="C191" s="741" t="n"/>
      <c r="D191" s="740" t="n"/>
      <c r="E191" s="741" t="n"/>
    </row>
    <row r="192">
      <c r="A192" s="555" t="n"/>
      <c r="B192" s="555" t="n"/>
      <c r="C192" s="741" t="n"/>
      <c r="D192" s="740" t="n"/>
      <c r="E192" s="741" t="n"/>
    </row>
    <row r="193">
      <c r="A193" s="555" t="n"/>
      <c r="B193" s="555" t="n"/>
      <c r="C193" s="740" t="n"/>
      <c r="D193" s="740" t="n"/>
      <c r="E193" s="740" t="n"/>
    </row>
    <row r="194">
      <c r="A194" s="555" t="n"/>
      <c r="B194" s="555" t="n"/>
      <c r="C194" s="740" t="n"/>
      <c r="D194" s="740" t="n"/>
      <c r="E194" s="740" t="n"/>
    </row>
    <row r="195">
      <c r="A195" s="555" t="n"/>
      <c r="B195" s="555" t="n"/>
      <c r="C195" s="740" t="n"/>
      <c r="D195" s="740" t="n"/>
      <c r="E195" s="740" t="n"/>
    </row>
    <row r="196">
      <c r="A196" s="555" t="n"/>
      <c r="B196" s="555" t="n"/>
      <c r="C196" s="740" t="n"/>
      <c r="D196" s="740" t="n"/>
      <c r="E196" s="740" t="n"/>
    </row>
    <row r="197">
      <c r="A197" s="555" t="n"/>
      <c r="B197" s="555" t="n"/>
      <c r="C197" s="740" t="n"/>
      <c r="D197" s="740" t="n"/>
      <c r="E197" s="741" t="n"/>
    </row>
    <row r="198">
      <c r="A198" s="555" t="n"/>
      <c r="B198" s="555" t="n"/>
      <c r="C198" s="740" t="n"/>
      <c r="D198" s="740" t="n"/>
      <c r="E198" s="741" t="n"/>
    </row>
    <row r="199">
      <c r="A199" s="555" t="n"/>
      <c r="B199" s="555" t="n"/>
      <c r="C199" s="741" t="n"/>
      <c r="D199" s="740" t="n"/>
      <c r="E199" s="741" t="n"/>
    </row>
    <row r="200">
      <c r="A200" s="555" t="n"/>
      <c r="B200" s="555" t="n"/>
      <c r="C200" s="740" t="n"/>
      <c r="D200" s="741" t="n"/>
      <c r="E200" s="741" t="n"/>
    </row>
    <row r="201">
      <c r="A201" s="555" t="n"/>
      <c r="B201" s="555" t="n"/>
      <c r="C201" s="740" t="n"/>
      <c r="D201" s="741" t="n"/>
      <c r="E201" s="741" t="n"/>
    </row>
    <row r="202">
      <c r="A202" s="555" t="n"/>
      <c r="B202" s="555" t="n"/>
      <c r="C202" s="740" t="n"/>
      <c r="D202" s="740" t="n"/>
      <c r="E202" s="740" t="n"/>
    </row>
    <row r="203">
      <c r="A203" s="555" t="n"/>
      <c r="B203" s="555" t="n"/>
      <c r="C203" s="740" t="n"/>
      <c r="D203" s="740" t="n"/>
      <c r="E203" s="741" t="n"/>
    </row>
    <row r="204">
      <c r="A204" s="555" t="n"/>
      <c r="B204" s="555" t="n"/>
      <c r="C204" s="740" t="n"/>
      <c r="D204" s="740" t="n"/>
      <c r="E204" s="740" t="n"/>
    </row>
    <row r="205">
      <c r="A205" s="555" t="n"/>
      <c r="B205" s="555" t="n"/>
      <c r="C205" s="740" t="n"/>
      <c r="D205" s="740" t="n"/>
      <c r="E205" s="741" t="n"/>
    </row>
    <row r="206">
      <c r="A206" s="555" t="n"/>
      <c r="B206" s="555" t="n"/>
      <c r="C206" s="740" t="n"/>
      <c r="D206" s="740" t="n"/>
      <c r="E206" s="741" t="n"/>
    </row>
    <row r="207">
      <c r="A207" s="555" t="n"/>
      <c r="B207" s="555" t="n"/>
      <c r="C207" s="740" t="n"/>
      <c r="D207" s="740" t="n"/>
      <c r="E207" s="741" t="n"/>
    </row>
    <row r="208">
      <c r="A208" s="555" t="n"/>
      <c r="B208" s="555" t="n"/>
      <c r="C208" s="740" t="n"/>
      <c r="D208" s="740" t="n"/>
      <c r="E208" s="741" t="n"/>
    </row>
    <row r="209">
      <c r="A209" s="555" t="n"/>
      <c r="B209" s="555" t="n"/>
      <c r="C209" s="740" t="n"/>
      <c r="D209" s="740" t="n"/>
      <c r="E209" s="741" t="n"/>
    </row>
    <row r="210">
      <c r="A210" s="555" t="n"/>
      <c r="B210" s="555" t="n"/>
      <c r="C210" s="740" t="n"/>
      <c r="D210" s="740" t="n"/>
      <c r="E210" s="741" t="n"/>
    </row>
    <row r="211">
      <c r="A211" s="555" t="n"/>
      <c r="B211" s="555" t="n"/>
      <c r="C211" s="740" t="n"/>
      <c r="D211" s="740" t="n"/>
      <c r="E211" s="740" t="n"/>
    </row>
    <row r="212">
      <c r="A212" s="555" t="n"/>
      <c r="B212" s="555" t="n"/>
      <c r="C212" s="740" t="n"/>
      <c r="D212" s="740" t="n"/>
      <c r="E212" s="740" t="n"/>
    </row>
    <row r="213">
      <c r="A213" s="555" t="n"/>
      <c r="B213" s="555" t="n"/>
      <c r="C213" s="740" t="n"/>
      <c r="D213" s="740" t="n"/>
      <c r="E213" s="740" t="n"/>
    </row>
    <row r="214">
      <c r="A214" s="555" t="n"/>
      <c r="B214" s="555" t="n"/>
      <c r="C214" s="740" t="n"/>
      <c r="D214" s="740" t="n"/>
      <c r="E214" s="740" t="n"/>
    </row>
    <row r="215">
      <c r="A215" s="555" t="n"/>
      <c r="B215" s="555" t="n"/>
      <c r="C215" s="740" t="n"/>
      <c r="D215" s="740" t="n"/>
      <c r="E215" s="740" t="n"/>
    </row>
    <row r="216">
      <c r="A216" s="555" t="n"/>
      <c r="B216" s="555" t="n"/>
      <c r="C216" s="740" t="n"/>
      <c r="D216" s="740" t="n"/>
      <c r="E216" s="740" t="n"/>
    </row>
    <row r="217">
      <c r="A217" s="555" t="n"/>
      <c r="B217" s="555" t="n"/>
      <c r="C217" s="740" t="n"/>
      <c r="D217" s="740" t="n"/>
      <c r="E217" s="740" t="n"/>
    </row>
    <row r="218">
      <c r="A218" s="555" t="n"/>
      <c r="B218" s="555" t="n"/>
      <c r="C218" s="740" t="n"/>
      <c r="D218" s="740" t="n"/>
      <c r="E218" s="741" t="n"/>
    </row>
    <row r="219">
      <c r="A219" s="555" t="n"/>
      <c r="B219" s="555" t="n"/>
      <c r="C219" s="740" t="n"/>
      <c r="D219" s="740" t="n"/>
      <c r="E219" s="740" t="n"/>
    </row>
    <row r="220">
      <c r="A220" s="555" t="n"/>
      <c r="B220" s="555" t="n"/>
      <c r="C220" s="740" t="n"/>
      <c r="D220" s="740" t="n"/>
      <c r="E220" s="741" t="n"/>
    </row>
    <row r="221">
      <c r="A221" s="555" t="n"/>
      <c r="B221" s="555" t="n"/>
      <c r="C221" s="740" t="n"/>
      <c r="D221" s="740" t="n"/>
      <c r="E221" s="741" t="n"/>
    </row>
    <row r="222">
      <c r="A222" s="555" t="n"/>
      <c r="B222" s="555" t="n"/>
      <c r="C222" s="740" t="n"/>
      <c r="D222" s="741" t="n"/>
      <c r="E222" s="741" t="n"/>
    </row>
    <row r="223">
      <c r="A223" s="555" t="n"/>
      <c r="B223" s="555" t="n"/>
      <c r="C223" s="740" t="n"/>
      <c r="D223" s="741" t="n"/>
      <c r="E223" s="741" t="n"/>
    </row>
    <row r="224">
      <c r="A224" s="555" t="n"/>
      <c r="B224" s="555" t="n"/>
      <c r="C224" s="740" t="n"/>
      <c r="D224" s="741" t="n"/>
      <c r="E224" s="741" t="n"/>
    </row>
    <row r="225">
      <c r="A225" s="555" t="n"/>
      <c r="B225" s="555" t="n"/>
      <c r="C225" s="740" t="n"/>
      <c r="D225" s="740" t="n"/>
      <c r="E225" s="741" t="n"/>
    </row>
    <row r="226">
      <c r="A226" s="555" t="n"/>
      <c r="B226" s="555" t="n"/>
      <c r="C226" s="740" t="n"/>
      <c r="D226" s="741" t="n"/>
      <c r="E226" s="741" t="n"/>
    </row>
    <row r="227">
      <c r="A227" s="555" t="n"/>
      <c r="B227" s="555" t="n"/>
      <c r="C227" s="741" t="n"/>
      <c r="D227" s="740" t="n"/>
      <c r="E227" s="741" t="n"/>
    </row>
    <row r="228">
      <c r="A228" s="555" t="n"/>
      <c r="B228" s="555" t="n"/>
      <c r="C228" s="740" t="n"/>
      <c r="D228" s="740" t="n"/>
      <c r="E228" s="741" t="n"/>
    </row>
    <row r="229">
      <c r="A229" s="555" t="n"/>
      <c r="B229" s="555" t="n"/>
      <c r="C229" s="741" t="n"/>
      <c r="D229" s="740" t="n"/>
      <c r="E229" s="741" t="n"/>
    </row>
    <row r="230">
      <c r="A230" s="555" t="n"/>
      <c r="B230" s="555" t="n"/>
      <c r="C230" s="741" t="n"/>
      <c r="D230" s="740" t="n"/>
      <c r="E230" s="741" t="n"/>
    </row>
    <row r="231">
      <c r="A231" s="555" t="n"/>
      <c r="B231" s="555" t="n"/>
      <c r="C231" s="741" t="n"/>
      <c r="D231" s="740" t="n"/>
      <c r="E231" s="740" t="n"/>
    </row>
    <row r="232">
      <c r="A232" s="555" t="n"/>
      <c r="B232" s="555" t="n"/>
      <c r="C232" s="741" t="n"/>
      <c r="D232" s="740" t="n"/>
      <c r="E232" s="741" t="n"/>
    </row>
    <row r="233">
      <c r="A233" s="555" t="n"/>
      <c r="B233" s="555" t="n"/>
      <c r="C233" s="741" t="n"/>
      <c r="D233" s="740" t="n"/>
      <c r="E233" s="741" t="n"/>
    </row>
    <row r="234">
      <c r="A234" s="555" t="n"/>
      <c r="B234" s="555" t="n"/>
      <c r="C234" s="740" t="n"/>
      <c r="D234" s="740" t="n"/>
      <c r="E234" s="740" t="n"/>
    </row>
    <row r="235">
      <c r="A235" s="555" t="n"/>
      <c r="B235" s="555" t="n"/>
      <c r="C235" s="740" t="n"/>
      <c r="D235" s="740" t="n"/>
      <c r="E235" s="740" t="n"/>
    </row>
    <row r="236">
      <c r="A236" s="555" t="n"/>
      <c r="B236" s="555" t="n"/>
      <c r="C236" s="740" t="n"/>
      <c r="D236" s="740" t="n"/>
      <c r="E236" s="740" t="n"/>
    </row>
    <row r="237">
      <c r="A237" s="555" t="n"/>
      <c r="B237" s="555" t="n"/>
      <c r="C237" s="740" t="n"/>
      <c r="D237" s="740" t="n"/>
      <c r="E237" s="741" t="n"/>
    </row>
    <row r="238">
      <c r="A238" s="555" t="n"/>
      <c r="B238" s="555" t="n"/>
      <c r="C238" s="740" t="n"/>
      <c r="D238" s="740" t="n"/>
      <c r="E238" s="740" t="n"/>
    </row>
    <row r="239">
      <c r="A239" s="555" t="n"/>
      <c r="B239" s="555" t="n"/>
      <c r="C239" s="740" t="n"/>
      <c r="D239" s="740" t="n"/>
      <c r="E239" s="740" t="n"/>
    </row>
    <row r="240">
      <c r="A240" s="555" t="n"/>
      <c r="B240" s="555" t="n"/>
      <c r="C240" s="740" t="n"/>
      <c r="D240" s="740" t="n"/>
      <c r="E240" s="740" t="n"/>
    </row>
    <row r="241">
      <c r="A241" s="555" t="n"/>
      <c r="B241" s="555" t="n"/>
      <c r="C241" s="740" t="n"/>
      <c r="D241" s="740" t="n"/>
      <c r="E241" s="740" t="n"/>
    </row>
    <row r="242">
      <c r="A242" s="555" t="n"/>
      <c r="B242" s="555" t="n"/>
      <c r="C242" s="740" t="n"/>
      <c r="D242" s="740" t="n"/>
      <c r="E242" s="740" t="n"/>
    </row>
    <row r="243">
      <c r="A243" s="555" t="n"/>
      <c r="B243" s="555" t="n"/>
      <c r="C243" s="740" t="n"/>
      <c r="D243" s="740" t="n"/>
      <c r="E243" s="740" t="n"/>
    </row>
    <row r="244">
      <c r="A244" s="555" t="n"/>
      <c r="B244" s="555" t="n"/>
      <c r="C244" s="741" t="n"/>
      <c r="D244" s="740" t="n"/>
      <c r="E244" s="741" t="n"/>
    </row>
    <row r="245">
      <c r="A245" s="555" t="n"/>
      <c r="B245" s="555" t="n"/>
      <c r="C245" s="741" t="n"/>
      <c r="D245" s="740" t="n"/>
      <c r="E245" s="741" t="n"/>
    </row>
    <row r="246">
      <c r="A246" s="555" t="n"/>
      <c r="B246" s="555" t="n"/>
      <c r="C246" s="741" t="n"/>
      <c r="D246" s="740" t="n"/>
      <c r="E246" s="741" t="n"/>
    </row>
    <row r="247">
      <c r="A247" s="555" t="n"/>
      <c r="B247" s="555" t="n"/>
      <c r="C247" s="741" t="n"/>
      <c r="D247" s="740" t="n"/>
      <c r="E247" s="741" t="n"/>
    </row>
    <row r="248">
      <c r="A248" s="555" t="n"/>
      <c r="B248" s="555" t="n"/>
      <c r="C248" s="741" t="n"/>
      <c r="D248" s="740" t="n"/>
      <c r="E248" s="741" t="n"/>
    </row>
    <row r="249">
      <c r="A249" s="555" t="n"/>
      <c r="B249" s="555" t="n"/>
      <c r="C249" s="741" t="n"/>
      <c r="D249" s="740" t="n"/>
      <c r="E249" s="741" t="n"/>
    </row>
    <row r="250">
      <c r="A250" s="555" t="n"/>
      <c r="B250" s="555" t="n"/>
      <c r="C250" s="741" t="n"/>
      <c r="D250" s="740" t="n"/>
      <c r="E250" s="741" t="n"/>
    </row>
    <row r="251">
      <c r="A251" s="555" t="n"/>
      <c r="B251" s="555" t="n"/>
      <c r="C251" s="741" t="n"/>
      <c r="D251" s="740" t="n"/>
      <c r="E251" s="741" t="n"/>
    </row>
    <row r="252">
      <c r="A252" s="555" t="n"/>
      <c r="B252" s="555" t="n"/>
      <c r="C252" s="741" t="n"/>
      <c r="D252" s="740" t="n"/>
      <c r="E252" s="741" t="n"/>
    </row>
    <row r="253">
      <c r="A253" s="555" t="n"/>
      <c r="B253" s="555" t="n"/>
      <c r="C253" s="741" t="n"/>
      <c r="D253" s="740" t="n"/>
      <c r="E253" s="741" t="n"/>
    </row>
    <row r="254">
      <c r="A254" s="555" t="n"/>
      <c r="B254" s="555" t="n"/>
      <c r="C254" s="741" t="n"/>
      <c r="D254" s="740" t="n"/>
      <c r="E254" s="741" t="n"/>
    </row>
    <row r="255">
      <c r="A255" s="555" t="n"/>
      <c r="B255" s="555" t="n"/>
      <c r="C255" s="741" t="n"/>
      <c r="D255" s="740" t="n"/>
      <c r="E255" s="741" t="n"/>
    </row>
    <row r="256">
      <c r="A256" s="555" t="n"/>
      <c r="B256" s="555" t="n"/>
      <c r="C256" s="741" t="n"/>
      <c r="D256" s="740" t="n"/>
      <c r="E256" s="741" t="n"/>
    </row>
    <row r="257">
      <c r="A257" s="555" t="n"/>
      <c r="B257" s="555" t="n"/>
      <c r="C257" s="740" t="n"/>
      <c r="D257" s="740" t="n"/>
      <c r="E257" s="741" t="n"/>
    </row>
    <row r="258">
      <c r="A258" s="555" t="n"/>
      <c r="B258" s="555" t="n"/>
      <c r="C258" s="740" t="n"/>
      <c r="D258" s="740" t="n"/>
      <c r="E258" s="741" t="n"/>
    </row>
    <row r="259">
      <c r="A259" s="555" t="n"/>
      <c r="B259" s="555" t="n"/>
      <c r="C259" s="740" t="n"/>
      <c r="D259" s="740" t="n"/>
      <c r="E259" s="740" t="n"/>
    </row>
    <row r="260">
      <c r="A260" s="555" t="n"/>
      <c r="B260" s="555" t="n"/>
      <c r="C260" s="740" t="n"/>
      <c r="D260" s="740" t="n"/>
      <c r="E260" s="740" t="n"/>
    </row>
    <row r="261">
      <c r="A261" s="555" t="n"/>
      <c r="B261" s="555" t="n"/>
      <c r="C261" s="740" t="n"/>
      <c r="D261" s="740" t="n"/>
      <c r="E261" s="740" t="n"/>
    </row>
    <row r="262">
      <c r="A262" s="555" t="n"/>
      <c r="B262" s="555" t="n"/>
      <c r="C262" s="740" t="n"/>
      <c r="D262" s="740" t="n"/>
      <c r="E262" s="740" t="n"/>
    </row>
    <row r="263">
      <c r="A263" s="555" t="n"/>
      <c r="B263" s="555" t="n"/>
      <c r="C263" s="741" t="n"/>
      <c r="D263" s="741" t="n"/>
      <c r="E263" s="741" t="n"/>
    </row>
    <row r="264">
      <c r="A264" s="555" t="n"/>
      <c r="B264" s="555" t="n"/>
      <c r="C264" s="740" t="n"/>
      <c r="D264" s="740" t="n"/>
      <c r="E264" s="741" t="n"/>
    </row>
    <row r="265">
      <c r="A265" s="555" t="n"/>
      <c r="B265" s="555" t="n"/>
      <c r="C265" s="740" t="n"/>
      <c r="D265" s="740" t="n"/>
      <c r="E265" s="740" t="n"/>
    </row>
    <row r="266">
      <c r="A266" s="555" t="n"/>
      <c r="B266" s="555" t="n"/>
      <c r="C266" s="740" t="n"/>
      <c r="D266" s="740" t="n"/>
      <c r="E266" s="740" t="n"/>
    </row>
    <row r="267">
      <c r="A267" s="555" t="n"/>
      <c r="B267" s="555" t="n"/>
      <c r="C267" s="740" t="n"/>
      <c r="D267" s="740" t="n"/>
      <c r="E267" s="741" t="n"/>
    </row>
    <row r="268">
      <c r="A268" s="555" t="n"/>
      <c r="B268" s="555" t="n"/>
      <c r="C268" s="740" t="n"/>
      <c r="D268" s="740" t="n"/>
      <c r="E268" s="740" t="n"/>
    </row>
    <row r="269">
      <c r="A269" s="555" t="n"/>
      <c r="B269" s="555" t="n"/>
      <c r="C269" s="740" t="n"/>
      <c r="D269" s="740" t="n"/>
      <c r="E269" s="740" t="n"/>
    </row>
    <row r="270">
      <c r="A270" s="555" t="n"/>
      <c r="B270" s="555" t="n"/>
      <c r="C270" s="740" t="n"/>
      <c r="D270" s="740" t="n"/>
      <c r="E270" s="740" t="n"/>
    </row>
    <row r="271">
      <c r="A271" s="555" t="n"/>
      <c r="B271" s="555" t="n"/>
      <c r="C271" s="740" t="n"/>
      <c r="D271" s="740" t="n"/>
      <c r="E271" s="740" t="n"/>
    </row>
    <row r="272">
      <c r="A272" s="555" t="n"/>
      <c r="B272" s="555" t="n"/>
      <c r="C272" s="740" t="n"/>
      <c r="D272" s="740" t="n"/>
      <c r="E272" s="741" t="n"/>
    </row>
    <row r="273">
      <c r="A273" s="555" t="n"/>
      <c r="B273" s="555" t="n"/>
      <c r="C273" s="740" t="n"/>
      <c r="D273" s="740" t="n"/>
      <c r="E273" s="740" t="n"/>
    </row>
    <row r="274">
      <c r="A274" s="555" t="n"/>
      <c r="B274" s="555" t="n"/>
      <c r="C274" s="740" t="n"/>
      <c r="D274" s="740" t="n"/>
      <c r="E274" s="741" t="n"/>
    </row>
    <row r="275">
      <c r="A275" s="555" t="n"/>
      <c r="B275" s="555" t="n"/>
      <c r="C275" s="741" t="n"/>
      <c r="D275" s="740" t="n"/>
      <c r="E275" s="741" t="n"/>
    </row>
    <row r="276">
      <c r="A276" s="555" t="n"/>
      <c r="B276" s="555" t="n"/>
      <c r="C276" s="741" t="n"/>
      <c r="D276" s="740" t="n"/>
      <c r="E276" s="741" t="n"/>
    </row>
    <row r="277">
      <c r="A277" s="555" t="n"/>
      <c r="B277" s="555" t="n"/>
      <c r="C277" s="741" t="n"/>
      <c r="D277" s="740" t="n"/>
      <c r="E277" s="741" t="n"/>
    </row>
    <row r="278">
      <c r="A278" s="555" t="n"/>
      <c r="B278" s="555" t="n"/>
      <c r="C278" s="740" t="n"/>
      <c r="D278" s="740" t="n"/>
      <c r="E278" s="740" t="n"/>
    </row>
    <row r="279">
      <c r="A279" s="555" t="n"/>
      <c r="B279" s="555" t="n"/>
      <c r="C279" s="740" t="n"/>
      <c r="D279" s="740" t="n"/>
      <c r="E279" s="741" t="n"/>
    </row>
    <row r="280">
      <c r="A280" s="555" t="n"/>
      <c r="B280" s="555" t="n"/>
      <c r="C280" s="740" t="n"/>
      <c r="D280" s="740" t="n"/>
      <c r="E280" s="740" t="n"/>
    </row>
    <row r="281">
      <c r="A281" s="555" t="n"/>
      <c r="B281" s="555" t="n"/>
      <c r="C281" s="740" t="n"/>
      <c r="D281" s="740" t="n"/>
      <c r="E281" s="740" t="n"/>
    </row>
    <row r="282">
      <c r="A282" s="555" t="n"/>
      <c r="B282" s="555" t="n"/>
      <c r="C282" s="740" t="n"/>
      <c r="D282" s="740" t="n"/>
      <c r="E282" s="740" t="n"/>
    </row>
    <row r="283">
      <c r="A283" s="555" t="n"/>
      <c r="B283" s="555" t="n"/>
      <c r="C283" s="740" t="n"/>
      <c r="D283" s="740" t="n"/>
      <c r="E283" s="740" t="n"/>
    </row>
    <row r="284">
      <c r="A284" s="555" t="n"/>
      <c r="B284" s="555" t="n"/>
      <c r="C284" s="740" t="n"/>
      <c r="D284" s="740" t="n"/>
      <c r="E284" s="740" t="n"/>
    </row>
    <row r="285">
      <c r="A285" s="555" t="n"/>
      <c r="B285" s="555" t="n"/>
      <c r="C285" s="740" t="n"/>
      <c r="D285" s="740" t="n"/>
      <c r="E285" s="740" t="n"/>
    </row>
    <row r="286">
      <c r="A286" s="555" t="n"/>
      <c r="B286" s="555" t="n"/>
      <c r="C286" s="740" t="n"/>
      <c r="D286" s="740" t="n"/>
      <c r="E286" s="740" t="n"/>
    </row>
    <row r="287">
      <c r="A287" s="555" t="n"/>
      <c r="B287" s="555" t="n"/>
      <c r="C287" s="740" t="n"/>
      <c r="D287" s="740" t="n"/>
      <c r="E287" s="740" t="n"/>
    </row>
    <row r="288">
      <c r="A288" s="555" t="n"/>
      <c r="B288" s="555" t="n"/>
      <c r="C288" s="741" t="n"/>
      <c r="D288" s="741" t="n"/>
      <c r="E288" s="740" t="n"/>
    </row>
    <row r="289">
      <c r="A289" s="555" t="n"/>
      <c r="B289" s="555" t="n"/>
      <c r="C289" s="740" t="n"/>
      <c r="D289" s="740" t="n"/>
      <c r="E289" s="740" t="n"/>
    </row>
    <row r="290">
      <c r="A290" s="555" t="n"/>
      <c r="B290" s="555" t="n"/>
      <c r="C290" s="741" t="n"/>
      <c r="D290" s="740" t="n"/>
      <c r="E290" s="740" t="n"/>
    </row>
    <row r="291">
      <c r="A291" s="555" t="n"/>
      <c r="B291" s="555" t="n"/>
      <c r="C291" s="740" t="n"/>
      <c r="D291" s="740" t="n"/>
      <c r="E291" s="740" t="n"/>
    </row>
    <row r="292">
      <c r="A292" s="555" t="n"/>
      <c r="B292" s="555" t="n"/>
      <c r="C292" s="740" t="n"/>
      <c r="D292" s="740" t="n"/>
      <c r="E292" s="740" t="n"/>
    </row>
    <row r="293">
      <c r="A293" s="555" t="n"/>
      <c r="B293" s="555" t="n"/>
      <c r="C293" s="741" t="n"/>
      <c r="D293" s="740" t="n"/>
      <c r="E293" s="741" t="n"/>
    </row>
    <row r="294">
      <c r="A294" s="555" t="n"/>
      <c r="B294" s="555" t="n"/>
      <c r="C294" s="741" t="n"/>
      <c r="D294" s="740" t="n"/>
      <c r="E294" s="740" t="n"/>
    </row>
    <row r="295">
      <c r="A295" s="555" t="n"/>
      <c r="B295" s="555" t="n"/>
      <c r="C295" s="740" t="n"/>
      <c r="D295" s="740" t="n"/>
      <c r="E295" s="740" t="n"/>
    </row>
    <row r="296">
      <c r="A296" s="555" t="n"/>
      <c r="B296" s="555" t="n"/>
      <c r="C296" s="740" t="n"/>
      <c r="D296" s="740" t="n"/>
      <c r="E296" s="740" t="n"/>
    </row>
    <row r="297">
      <c r="A297" s="555" t="n"/>
      <c r="B297" s="555" t="n"/>
      <c r="C297" s="740" t="n"/>
      <c r="D297" s="740" t="n"/>
      <c r="E297" s="740" t="n"/>
    </row>
    <row r="298">
      <c r="A298" s="555" t="n"/>
      <c r="B298" s="555" t="n"/>
      <c r="C298" s="740" t="n"/>
      <c r="D298" s="740" t="n"/>
      <c r="E298" s="740" t="n"/>
    </row>
    <row r="299">
      <c r="A299" s="555" t="n"/>
      <c r="B299" s="555" t="n"/>
      <c r="C299" s="740" t="n"/>
      <c r="D299" s="740" t="n"/>
      <c r="E299" s="740" t="n"/>
    </row>
    <row r="300">
      <c r="A300" s="555" t="n"/>
      <c r="B300" s="555" t="n"/>
      <c r="C300" s="740" t="n"/>
      <c r="D300" s="740" t="n"/>
      <c r="E300" s="740" t="n"/>
    </row>
    <row r="301">
      <c r="A301" s="555" t="n"/>
      <c r="B301" s="555" t="n"/>
      <c r="C301" s="740" t="n"/>
      <c r="D301" s="740" t="n"/>
      <c r="E301" s="740" t="n"/>
    </row>
    <row r="302">
      <c r="A302" s="555" t="n"/>
      <c r="B302" s="555" t="n"/>
      <c r="C302" s="740" t="n"/>
      <c r="D302" s="740" t="n"/>
      <c r="E302" s="740" t="n"/>
    </row>
    <row r="303">
      <c r="A303" s="555" t="n"/>
      <c r="B303" s="555" t="n"/>
      <c r="C303" s="741" t="n"/>
      <c r="D303" s="740" t="n"/>
      <c r="E303" s="740" t="n"/>
    </row>
    <row r="304">
      <c r="A304" s="555" t="n"/>
      <c r="B304" s="555" t="n"/>
      <c r="C304" s="741" t="n"/>
      <c r="D304" s="740" t="n"/>
      <c r="E304" s="741" t="n"/>
    </row>
    <row r="305">
      <c r="A305" s="555" t="n"/>
      <c r="B305" s="555" t="n"/>
      <c r="C305" s="740" t="n"/>
      <c r="D305" s="740" t="n"/>
      <c r="E305" s="740" t="n"/>
    </row>
    <row r="306">
      <c r="A306" s="555" t="n"/>
      <c r="B306" s="555" t="n"/>
      <c r="C306" s="740" t="n"/>
      <c r="D306" s="740" t="n"/>
      <c r="E306" s="740" t="n"/>
    </row>
    <row r="307">
      <c r="A307" s="555" t="n"/>
      <c r="B307" s="555" t="n"/>
      <c r="C307" s="740" t="n"/>
      <c r="D307" s="740" t="n"/>
      <c r="E307" s="740" t="n"/>
    </row>
    <row r="308">
      <c r="A308" s="555" t="n"/>
      <c r="B308" s="555" t="n"/>
      <c r="C308" s="741" t="n"/>
      <c r="D308" s="740" t="n"/>
      <c r="E308" s="740" t="n"/>
    </row>
    <row r="309">
      <c r="A309" s="555" t="n"/>
      <c r="B309" s="555" t="n"/>
      <c r="C309" s="741" t="n"/>
      <c r="D309" s="741" t="n"/>
      <c r="E309" s="740" t="n"/>
    </row>
    <row r="310">
      <c r="A310" s="555" t="n"/>
      <c r="B310" s="555" t="n"/>
      <c r="C310" s="741" t="n"/>
      <c r="D310" s="741" t="n"/>
      <c r="E310" s="740" t="n"/>
    </row>
    <row r="311">
      <c r="A311" s="555" t="n"/>
      <c r="B311" s="555" t="n"/>
      <c r="C311" s="741" t="n"/>
      <c r="D311" s="740" t="n"/>
      <c r="E311" s="740" t="n"/>
    </row>
    <row r="312">
      <c r="A312" s="555" t="n"/>
      <c r="B312" s="555" t="n"/>
      <c r="C312" s="740" t="n"/>
      <c r="D312" s="740" t="n"/>
      <c r="E312" s="740" t="n"/>
    </row>
    <row r="313">
      <c r="A313" s="555" t="n"/>
      <c r="B313" s="555" t="n"/>
      <c r="C313" s="741" t="n"/>
      <c r="D313" s="741" t="n"/>
      <c r="E313" s="741" t="n"/>
    </row>
    <row r="314">
      <c r="A314" s="555" t="n"/>
      <c r="B314" s="555" t="n"/>
      <c r="C314" s="741" t="n"/>
      <c r="D314" s="740" t="n"/>
      <c r="E314" s="740" t="n"/>
    </row>
    <row r="315">
      <c r="A315" s="555" t="n"/>
      <c r="B315" s="555" t="n"/>
      <c r="C315" s="741" t="n"/>
      <c r="D315" s="741" t="n"/>
      <c r="E315" s="740" t="n"/>
    </row>
    <row r="316">
      <c r="A316" s="555" t="n"/>
      <c r="B316" s="555" t="n"/>
      <c r="C316" s="741" t="n"/>
      <c r="D316" s="740" t="n"/>
      <c r="E316" s="740" t="n"/>
    </row>
    <row r="317">
      <c r="A317" s="555" t="n"/>
      <c r="B317" s="555" t="n"/>
      <c r="C317" s="741" t="n"/>
      <c r="D317" s="740" t="n"/>
      <c r="E317" s="740" t="n"/>
    </row>
    <row r="318">
      <c r="A318" s="555" t="n"/>
      <c r="B318" s="555" t="n"/>
      <c r="C318" s="741" t="n"/>
      <c r="D318" s="740" t="n"/>
      <c r="E318" s="741" t="n"/>
    </row>
    <row r="319">
      <c r="A319" s="555" t="n"/>
      <c r="B319" s="555" t="n"/>
      <c r="C319" s="741" t="n"/>
      <c r="D319" s="740" t="n"/>
      <c r="E319" s="741" t="n"/>
    </row>
    <row r="320">
      <c r="A320" s="555" t="n"/>
      <c r="B320" s="555" t="n"/>
      <c r="C320" s="741" t="n"/>
      <c r="D320" s="740" t="n"/>
      <c r="E320" s="741" t="n"/>
    </row>
    <row r="321">
      <c r="A321" s="555" t="n"/>
      <c r="B321" s="555" t="n"/>
      <c r="C321" s="740" t="n"/>
      <c r="D321" s="740" t="n"/>
      <c r="E321" s="740" t="n"/>
    </row>
    <row r="322">
      <c r="A322" s="555" t="n"/>
      <c r="B322" s="555" t="n"/>
      <c r="C322" s="741" t="n"/>
      <c r="D322" s="740" t="n"/>
      <c r="E322" s="741" t="n"/>
    </row>
    <row r="323">
      <c r="A323" s="555" t="n"/>
      <c r="B323" s="555" t="n"/>
      <c r="C323" s="741" t="n"/>
      <c r="D323" s="740" t="n"/>
      <c r="E323" s="741" t="n"/>
    </row>
    <row r="324">
      <c r="A324" s="555" t="n"/>
      <c r="B324" s="555" t="n"/>
      <c r="C324" s="741" t="n"/>
      <c r="D324" s="740" t="n"/>
      <c r="E324" s="740" t="n"/>
    </row>
    <row r="325">
      <c r="A325" s="555" t="n"/>
      <c r="B325" s="555" t="n"/>
      <c r="C325" s="741" t="n"/>
      <c r="D325" s="740" t="n"/>
      <c r="E325" s="740" t="n"/>
    </row>
    <row r="326">
      <c r="A326" s="555" t="n"/>
      <c r="B326" s="555" t="n"/>
      <c r="C326" s="741" t="n"/>
      <c r="D326" s="740" t="n"/>
      <c r="E326" s="740" t="n"/>
    </row>
    <row r="327">
      <c r="A327" s="555" t="n"/>
      <c r="B327" s="555" t="n"/>
      <c r="C327" s="740" t="n"/>
      <c r="D327" s="740" t="n"/>
      <c r="E327" s="740" t="n"/>
    </row>
    <row r="328">
      <c r="A328" s="555" t="n"/>
      <c r="B328" s="555" t="n"/>
      <c r="C328" s="741" t="n"/>
      <c r="D328" s="740" t="n"/>
      <c r="E328" s="741" t="n"/>
    </row>
    <row r="329">
      <c r="A329" s="555" t="n"/>
      <c r="B329" s="555" t="n"/>
      <c r="C329" s="741" t="n"/>
      <c r="D329" s="740" t="n"/>
      <c r="E329" s="741" t="n"/>
    </row>
    <row r="330">
      <c r="A330" s="555" t="n"/>
      <c r="B330" s="555" t="n"/>
      <c r="C330" s="741" t="n"/>
      <c r="D330" s="740" t="n"/>
      <c r="E330" s="741" t="n"/>
    </row>
    <row r="331">
      <c r="A331" s="555" t="n"/>
      <c r="B331" s="555" t="n"/>
      <c r="C331" s="741" t="n"/>
      <c r="D331" s="740" t="n"/>
      <c r="E331" s="741" t="n"/>
    </row>
    <row r="332">
      <c r="A332" s="555" t="n"/>
      <c r="B332" s="555" t="n"/>
      <c r="C332" s="741" t="n"/>
      <c r="D332" s="741" t="n"/>
      <c r="E332" s="740" t="n"/>
    </row>
    <row r="333">
      <c r="A333" s="555" t="n"/>
      <c r="B333" s="555" t="n"/>
      <c r="C333" s="741" t="n"/>
      <c r="D333" s="740" t="n"/>
      <c r="E333" s="740" t="n"/>
    </row>
    <row r="334">
      <c r="A334" s="555" t="n"/>
      <c r="B334" s="555" t="n"/>
      <c r="C334" s="741" t="n"/>
      <c r="D334" s="740" t="n"/>
      <c r="E334" s="741" t="n"/>
    </row>
    <row r="335">
      <c r="A335" s="555" t="n"/>
      <c r="B335" s="555" t="n"/>
      <c r="C335" s="741" t="n"/>
      <c r="D335" s="740" t="n"/>
      <c r="E335" s="741" t="n"/>
    </row>
    <row r="336">
      <c r="A336" s="555" t="n"/>
      <c r="B336" s="555" t="n"/>
      <c r="C336" s="741" t="n"/>
      <c r="D336" s="740" t="n"/>
      <c r="E336" s="741" t="n"/>
    </row>
    <row r="337">
      <c r="A337" s="555" t="n"/>
      <c r="B337" s="555" t="n"/>
      <c r="C337" s="740" t="n"/>
      <c r="D337" s="740" t="n"/>
      <c r="E337" s="740" t="n"/>
    </row>
    <row r="338">
      <c r="A338" s="555" t="n"/>
      <c r="B338" s="555" t="n"/>
      <c r="C338" s="740" t="n"/>
      <c r="D338" s="740" t="n"/>
      <c r="E338" s="740" t="n"/>
    </row>
    <row r="339">
      <c r="A339" s="555" t="n"/>
      <c r="B339" s="555" t="n"/>
      <c r="C339" s="740" t="n"/>
      <c r="D339" s="741" t="n"/>
      <c r="E339" s="740" t="n"/>
    </row>
    <row r="340">
      <c r="A340" s="555" t="n"/>
      <c r="B340" s="555" t="n"/>
      <c r="C340" s="741" t="n"/>
      <c r="D340" s="740" t="n"/>
      <c r="E340" s="741" t="n"/>
    </row>
    <row r="341">
      <c r="A341" s="555" t="n"/>
      <c r="B341" s="555" t="n"/>
      <c r="C341" s="741" t="n"/>
      <c r="D341" s="740" t="n"/>
      <c r="E341" s="741" t="n"/>
    </row>
    <row r="342">
      <c r="A342" s="555" t="n"/>
      <c r="B342" s="555" t="n"/>
      <c r="C342" s="740" t="n"/>
      <c r="D342" s="740" t="n"/>
      <c r="E342" s="740" t="n"/>
    </row>
    <row r="343">
      <c r="A343" s="555" t="n"/>
      <c r="B343" s="555" t="n"/>
      <c r="C343" s="741" t="n"/>
      <c r="D343" s="740" t="n"/>
      <c r="E343" s="740" t="n"/>
    </row>
    <row r="344">
      <c r="A344" s="555" t="n"/>
      <c r="B344" s="555" t="n"/>
      <c r="C344" s="740" t="n"/>
      <c r="D344" s="740" t="n"/>
      <c r="E344" s="740" t="n"/>
    </row>
    <row r="345">
      <c r="A345" s="555" t="n"/>
      <c r="B345" s="555" t="n"/>
      <c r="C345" s="741" t="n"/>
      <c r="D345" s="740" t="n"/>
      <c r="E345" s="740" t="n"/>
    </row>
    <row r="346">
      <c r="A346" s="555" t="n"/>
      <c r="B346" s="555" t="n"/>
      <c r="C346" s="741" t="n"/>
      <c r="D346" s="740" t="n"/>
      <c r="E346" s="740" t="n"/>
    </row>
    <row r="347">
      <c r="A347" s="555" t="n"/>
      <c r="B347" s="555" t="n"/>
      <c r="C347" s="741" t="n"/>
      <c r="D347" s="740" t="n"/>
      <c r="E347" s="740" t="n"/>
    </row>
    <row r="348">
      <c r="A348" s="555" t="n"/>
      <c r="B348" s="555" t="n"/>
      <c r="C348" s="741" t="n"/>
      <c r="D348" s="740" t="n"/>
      <c r="E348" s="740" t="n"/>
    </row>
    <row r="349">
      <c r="A349" s="555" t="n"/>
      <c r="B349" s="555" t="n"/>
      <c r="C349" s="741" t="n"/>
      <c r="D349" s="740" t="n"/>
      <c r="E349" s="740" t="n"/>
    </row>
    <row r="350">
      <c r="A350" s="555" t="n"/>
      <c r="B350" s="555" t="n"/>
      <c r="C350" s="741" t="n"/>
      <c r="D350" s="740" t="n"/>
      <c r="E350" s="740" t="n"/>
    </row>
    <row r="351">
      <c r="A351" s="555" t="n"/>
      <c r="B351" s="555" t="n"/>
      <c r="C351" s="741" t="n"/>
      <c r="D351" s="740" t="n"/>
      <c r="E351" s="740" t="n"/>
    </row>
    <row r="352">
      <c r="A352" s="555" t="n"/>
      <c r="B352" s="555" t="n"/>
      <c r="C352" s="740" t="n"/>
      <c r="D352" s="740" t="n"/>
      <c r="E352" s="740" t="n"/>
    </row>
    <row r="353">
      <c r="A353" s="555" t="n"/>
      <c r="B353" s="555" t="n"/>
      <c r="C353" s="740" t="n"/>
      <c r="D353" s="740" t="n"/>
      <c r="E353" s="741" t="n"/>
    </row>
    <row r="354">
      <c r="A354" s="555" t="n"/>
      <c r="B354" s="555" t="n"/>
      <c r="C354" s="740" t="n"/>
      <c r="D354" s="740" t="n"/>
      <c r="E354" s="740" t="n"/>
    </row>
    <row r="355">
      <c r="A355" s="555" t="n"/>
      <c r="B355" s="555" t="n"/>
      <c r="C355" s="741" t="n"/>
      <c r="D355" s="740" t="n"/>
      <c r="E355" s="740" t="n"/>
    </row>
    <row r="356">
      <c r="A356" s="555" t="n"/>
      <c r="B356" s="555" t="n"/>
      <c r="C356" s="740" t="n"/>
      <c r="D356" s="740" t="n"/>
      <c r="E356" s="740" t="n"/>
    </row>
    <row r="357">
      <c r="A357" s="555" t="n"/>
      <c r="B357" s="555" t="n"/>
      <c r="C357" s="740" t="n"/>
      <c r="D357" s="740" t="n"/>
      <c r="E357" s="741" t="n"/>
    </row>
    <row r="358">
      <c r="A358" s="555" t="n"/>
      <c r="B358" s="555" t="n"/>
      <c r="C358" s="741" t="n"/>
      <c r="D358" s="740" t="n"/>
      <c r="E358" s="740" t="n"/>
    </row>
    <row r="359">
      <c r="A359" s="555" t="n"/>
      <c r="B359" s="555" t="n"/>
      <c r="C359" s="741" t="n"/>
      <c r="D359" s="740" t="n"/>
      <c r="E359" s="740" t="n"/>
    </row>
    <row r="360">
      <c r="A360" s="555" t="n"/>
      <c r="B360" s="555" t="n"/>
      <c r="C360" s="741" t="n"/>
      <c r="D360" s="741" t="n"/>
      <c r="E360" s="740" t="n"/>
    </row>
    <row r="361">
      <c r="A361" s="555" t="n"/>
      <c r="B361" s="555" t="n"/>
      <c r="C361" s="741" t="n"/>
      <c r="D361" s="741" t="n"/>
      <c r="E361" s="740" t="n"/>
    </row>
    <row r="362">
      <c r="A362" s="555" t="n"/>
      <c r="B362" s="555" t="n"/>
      <c r="C362" s="741" t="n"/>
      <c r="D362" s="741" t="n"/>
      <c r="E362" s="740" t="n"/>
    </row>
    <row r="363">
      <c r="A363" s="555" t="n"/>
      <c r="B363" s="555" t="n"/>
      <c r="C363" s="741" t="n"/>
      <c r="D363" s="741" t="n"/>
      <c r="E363" s="740" t="n"/>
    </row>
    <row r="364">
      <c r="A364" s="555" t="n"/>
      <c r="B364" s="555" t="n"/>
      <c r="C364" s="741" t="n"/>
      <c r="D364" s="741" t="n"/>
      <c r="E364" s="740" t="n"/>
    </row>
    <row r="365">
      <c r="A365" s="555" t="n"/>
      <c r="B365" s="555" t="n"/>
      <c r="C365" s="741" t="n"/>
      <c r="D365" s="740" t="n"/>
      <c r="E365" s="741" t="n"/>
    </row>
    <row r="366">
      <c r="A366" s="555" t="n"/>
      <c r="B366" s="555" t="n"/>
      <c r="C366" s="741" t="n"/>
      <c r="D366" s="740" t="n"/>
      <c r="E366" s="741" t="n"/>
    </row>
    <row r="367">
      <c r="A367" s="555" t="n"/>
      <c r="B367" s="555" t="n"/>
      <c r="C367" s="741" t="n"/>
      <c r="D367" s="740" t="n"/>
      <c r="E367" s="740" t="n"/>
    </row>
    <row r="368">
      <c r="A368" s="555" t="n"/>
      <c r="B368" s="555" t="n"/>
      <c r="C368" s="741" t="n"/>
      <c r="D368" s="740" t="n"/>
      <c r="E368" s="740" t="n"/>
    </row>
    <row r="369">
      <c r="A369" s="555" t="n"/>
      <c r="B369" s="555" t="n"/>
      <c r="C369" s="741" t="n"/>
      <c r="D369" s="740" t="n"/>
      <c r="E369" s="740" t="n"/>
    </row>
    <row r="370">
      <c r="A370" s="555" t="n"/>
      <c r="B370" s="555" t="n"/>
      <c r="C370" s="741" t="n"/>
      <c r="D370" s="740" t="n"/>
      <c r="E370" s="740" t="n"/>
    </row>
    <row r="371">
      <c r="A371" s="555" t="n"/>
      <c r="B371" s="555" t="n"/>
      <c r="C371" s="741" t="n"/>
      <c r="D371" s="740" t="n"/>
      <c r="E371" s="741" t="n"/>
    </row>
    <row r="372">
      <c r="A372" s="555" t="n"/>
      <c r="B372" s="555" t="n"/>
      <c r="C372" s="741" t="n"/>
      <c r="D372" s="740" t="n"/>
      <c r="E372" s="741" t="n"/>
    </row>
    <row r="373">
      <c r="A373" s="555" t="n"/>
      <c r="B373" s="555" t="n"/>
      <c r="C373" s="741" t="n"/>
      <c r="D373" s="740" t="n"/>
      <c r="E373" s="740" t="n"/>
    </row>
    <row r="374">
      <c r="A374" s="555" t="n"/>
      <c r="B374" s="555" t="n"/>
      <c r="C374" s="741" t="n"/>
      <c r="D374" s="740" t="n"/>
      <c r="E374" s="741" t="n"/>
    </row>
    <row r="375">
      <c r="A375" s="555" t="n"/>
      <c r="B375" s="555" t="n"/>
      <c r="C375" s="741" t="n"/>
      <c r="D375" s="740" t="n"/>
      <c r="E375" s="740" t="n"/>
    </row>
    <row r="376">
      <c r="A376" s="555" t="n"/>
      <c r="B376" s="555" t="n"/>
      <c r="C376" s="741" t="n"/>
      <c r="D376" s="740" t="n"/>
      <c r="E376" s="740" t="n"/>
    </row>
    <row r="377">
      <c r="A377" s="555" t="n"/>
      <c r="B377" s="555" t="n"/>
      <c r="C377" s="741" t="n"/>
      <c r="D377" s="741" t="n"/>
      <c r="E377" s="740" t="n"/>
    </row>
    <row r="378">
      <c r="A378" s="555" t="n"/>
      <c r="B378" s="555" t="n"/>
      <c r="C378" s="741" t="n"/>
      <c r="D378" s="740" t="n"/>
      <c r="E378" s="741" t="n"/>
    </row>
    <row r="379">
      <c r="A379" s="555" t="n"/>
      <c r="B379" s="555" t="n"/>
      <c r="C379" s="741" t="n"/>
      <c r="D379" s="740" t="n"/>
      <c r="E379" s="741" t="n"/>
    </row>
    <row r="380">
      <c r="A380" s="555" t="n"/>
      <c r="B380" s="555" t="n"/>
      <c r="C380" s="741" t="n"/>
      <c r="D380" s="740" t="n"/>
      <c r="E380" s="741" t="n"/>
    </row>
    <row r="381">
      <c r="A381" s="555" t="n"/>
      <c r="B381" s="555" t="n"/>
      <c r="C381" s="740" t="n"/>
      <c r="D381" s="740" t="n"/>
      <c r="E381" s="740" t="n"/>
    </row>
    <row r="382">
      <c r="A382" s="555" t="n"/>
      <c r="B382" s="555" t="n"/>
      <c r="C382" s="740" t="n"/>
      <c r="D382" s="740" t="n"/>
      <c r="E382" s="740" t="n"/>
    </row>
    <row r="383">
      <c r="A383" s="555" t="n"/>
      <c r="B383" s="555" t="n"/>
      <c r="C383" s="741" t="n"/>
      <c r="D383" s="740" t="n"/>
      <c r="E383" s="741" t="n"/>
    </row>
    <row r="384">
      <c r="A384" s="555" t="n"/>
      <c r="B384" s="555" t="n"/>
      <c r="C384" s="740" t="n"/>
      <c r="D384" s="740" t="n"/>
      <c r="E384" s="740" t="n"/>
    </row>
    <row r="385">
      <c r="A385" s="555" t="n"/>
      <c r="B385" s="555" t="n"/>
      <c r="C385" s="741" t="n"/>
      <c r="D385" s="740" t="n"/>
      <c r="E385" s="741" t="n"/>
    </row>
    <row r="386">
      <c r="A386" s="555" t="n"/>
      <c r="B386" s="555" t="n"/>
      <c r="C386" s="741" t="n"/>
      <c r="D386" s="740" t="n"/>
      <c r="E386" s="741" t="n"/>
    </row>
    <row r="387">
      <c r="A387" s="555" t="n"/>
      <c r="B387" s="555" t="n"/>
      <c r="C387" s="741" t="n"/>
      <c r="D387" s="740" t="n"/>
      <c r="E387" s="740" t="n"/>
    </row>
    <row r="388">
      <c r="A388" s="555" t="n"/>
      <c r="B388" s="555" t="n"/>
      <c r="C388" s="741" t="n"/>
      <c r="D388" s="740" t="n"/>
      <c r="E388" s="741" t="n"/>
    </row>
    <row r="389">
      <c r="A389" s="555" t="n"/>
      <c r="B389" s="555" t="n"/>
      <c r="C389" s="741" t="n"/>
      <c r="D389" s="740" t="n"/>
      <c r="E389" s="741" t="n"/>
    </row>
    <row r="390">
      <c r="A390" s="555" t="n"/>
      <c r="B390" s="555" t="n"/>
      <c r="C390" s="741" t="n"/>
      <c r="D390" s="740" t="n"/>
      <c r="E390" s="741" t="n"/>
    </row>
    <row r="391">
      <c r="A391" s="555" t="n"/>
      <c r="B391" s="555" t="n"/>
      <c r="C391" s="741" t="n"/>
      <c r="D391" s="740" t="n"/>
      <c r="E391" s="741" t="n"/>
    </row>
    <row r="392">
      <c r="A392" s="555" t="n"/>
      <c r="B392" s="555" t="n"/>
      <c r="C392" s="741" t="n"/>
      <c r="D392" s="740" t="n"/>
      <c r="E392" s="741" t="n"/>
    </row>
    <row r="393">
      <c r="A393" s="555" t="n"/>
      <c r="B393" s="555" t="n"/>
      <c r="C393" s="740" t="n"/>
      <c r="D393" s="740" t="n"/>
      <c r="E393" s="740" t="n"/>
    </row>
    <row r="394">
      <c r="A394" s="555" t="n"/>
      <c r="B394" s="555" t="n"/>
      <c r="C394" s="741" t="n"/>
      <c r="D394" s="740" t="n"/>
      <c r="E394" s="741" t="n"/>
    </row>
    <row r="395">
      <c r="A395" s="555" t="n"/>
      <c r="B395" s="555" t="n"/>
      <c r="C395" s="741" t="n"/>
      <c r="D395" s="740" t="n"/>
      <c r="E395" s="741" t="n"/>
    </row>
    <row r="396">
      <c r="A396" s="555" t="n"/>
      <c r="B396" s="555" t="n"/>
      <c r="C396" s="741" t="n"/>
      <c r="D396" s="740" t="n"/>
      <c r="E396" s="741" t="n"/>
    </row>
    <row r="397">
      <c r="A397" s="555" t="n"/>
      <c r="B397" s="555" t="n"/>
      <c r="C397" s="741" t="n"/>
      <c r="D397" s="740" t="n"/>
      <c r="E397" s="740" t="n"/>
    </row>
    <row r="398">
      <c r="A398" s="555" t="n"/>
      <c r="B398" s="555" t="n"/>
      <c r="C398" s="741" t="n"/>
      <c r="D398" s="741" t="n"/>
      <c r="E398" s="740" t="n"/>
    </row>
    <row r="399">
      <c r="A399" s="555" t="n"/>
      <c r="B399" s="555" t="n"/>
      <c r="C399" s="741" t="n"/>
      <c r="D399" s="741" t="n"/>
      <c r="E399" s="741" t="n"/>
    </row>
    <row r="400">
      <c r="A400" s="555" t="n"/>
      <c r="B400" s="555" t="n"/>
      <c r="C400" s="740" t="n"/>
      <c r="D400" s="740" t="n"/>
      <c r="E400" s="740" t="n"/>
    </row>
    <row r="401">
      <c r="A401" s="555" t="n"/>
      <c r="B401" s="555" t="n"/>
      <c r="C401" s="741" t="n"/>
      <c r="D401" s="740" t="n"/>
      <c r="E401" s="740" t="n"/>
    </row>
    <row r="402">
      <c r="A402" s="555" t="n"/>
      <c r="B402" s="555" t="n"/>
      <c r="C402" s="741" t="n"/>
      <c r="D402" s="740" t="n"/>
      <c r="E402" s="741" t="n"/>
    </row>
    <row r="403">
      <c r="A403" s="555" t="n"/>
      <c r="B403" s="555" t="n"/>
      <c r="C403" s="741" t="n"/>
      <c r="D403" s="741" t="n"/>
      <c r="E403" s="741" t="n"/>
    </row>
    <row r="404">
      <c r="A404" s="555" t="n"/>
      <c r="B404" s="555" t="n"/>
      <c r="C404" s="741" t="n"/>
      <c r="D404" s="741" t="n"/>
      <c r="E404" s="741" t="n"/>
    </row>
    <row r="405">
      <c r="A405" s="555" t="n"/>
      <c r="B405" s="555" t="n"/>
      <c r="C405" s="741" t="n"/>
      <c r="D405" s="740" t="n"/>
      <c r="E405" s="740" t="n"/>
    </row>
    <row r="406">
      <c r="A406" s="555" t="n"/>
      <c r="B406" s="555" t="n"/>
      <c r="C406" s="741" t="n"/>
      <c r="D406" s="741" t="n"/>
      <c r="E406" s="741" t="n"/>
    </row>
    <row r="407">
      <c r="A407" s="555" t="n"/>
      <c r="B407" s="555" t="n"/>
      <c r="C407" s="741" t="n"/>
      <c r="D407" s="741" t="n"/>
      <c r="E407" s="740" t="n"/>
    </row>
    <row r="408">
      <c r="A408" s="555" t="n"/>
      <c r="B408" s="555" t="n"/>
      <c r="C408" s="741" t="n"/>
      <c r="D408" s="740" t="n"/>
      <c r="E408" s="741" t="n"/>
    </row>
    <row r="409">
      <c r="A409" s="555" t="n"/>
      <c r="B409" s="555" t="n"/>
      <c r="C409" s="741" t="n"/>
      <c r="D409" s="740" t="n"/>
      <c r="E409" s="740" t="n"/>
    </row>
    <row r="410">
      <c r="A410" s="555" t="n"/>
      <c r="B410" s="555" t="n"/>
      <c r="C410" s="740" t="n"/>
      <c r="D410" s="740" t="n"/>
      <c r="E410" s="740" t="n"/>
    </row>
    <row r="411">
      <c r="A411" s="555" t="n"/>
      <c r="B411" s="555" t="n"/>
      <c r="C411" s="741" t="n"/>
      <c r="D411" s="741" t="n"/>
      <c r="E411" s="740" t="n"/>
    </row>
    <row r="412">
      <c r="A412" s="555" t="n"/>
      <c r="B412" s="555" t="n"/>
      <c r="C412" s="741" t="n"/>
      <c r="D412" s="741" t="n"/>
      <c r="E412" s="741" t="n"/>
    </row>
    <row r="413">
      <c r="A413" s="555" t="n"/>
      <c r="B413" s="555" t="n"/>
      <c r="C413" s="741" t="n"/>
      <c r="D413" s="740" t="n"/>
      <c r="E413" s="740" t="n"/>
    </row>
    <row r="414">
      <c r="A414" s="555" t="n"/>
      <c r="B414" s="555" t="n"/>
      <c r="C414" s="741" t="n"/>
      <c r="D414" s="740" t="n"/>
      <c r="E414" s="740" t="n"/>
    </row>
    <row r="415">
      <c r="A415" s="555" t="n"/>
      <c r="B415" s="555" t="n"/>
      <c r="C415" s="741" t="n"/>
      <c r="D415" s="740" t="n"/>
      <c r="E415" s="740" t="n"/>
    </row>
    <row r="416">
      <c r="A416" s="555" t="n"/>
      <c r="B416" s="555" t="n"/>
      <c r="C416" s="741" t="n"/>
      <c r="D416" s="741" t="n"/>
      <c r="E416" s="740" t="n"/>
    </row>
    <row r="417">
      <c r="A417" s="555" t="n"/>
      <c r="B417" s="555" t="n"/>
      <c r="C417" s="741" t="n"/>
      <c r="D417" s="741" t="n"/>
      <c r="E417" s="740" t="n"/>
    </row>
    <row r="418">
      <c r="A418" s="555" t="n"/>
      <c r="B418" s="555" t="n"/>
      <c r="C418" s="740" t="n"/>
      <c r="D418" s="740" t="n"/>
      <c r="E418" s="740" t="n"/>
    </row>
    <row r="419">
      <c r="A419" s="555" t="n"/>
      <c r="B419" s="555" t="n"/>
      <c r="C419" s="741" t="n"/>
      <c r="D419" s="740" t="n"/>
      <c r="E419" s="740" t="n"/>
    </row>
    <row r="420">
      <c r="A420" s="555" t="n"/>
      <c r="B420" s="555" t="n"/>
      <c r="C420" s="740" t="n"/>
      <c r="D420" s="740" t="n"/>
      <c r="E420" s="741" t="n"/>
    </row>
    <row r="421">
      <c r="A421" s="555" t="n"/>
      <c r="B421" s="555" t="n"/>
      <c r="C421" s="741" t="n"/>
      <c r="D421" s="741" t="n"/>
      <c r="E421" s="740" t="n"/>
    </row>
    <row r="422">
      <c r="A422" s="555" t="n"/>
      <c r="B422" s="555" t="n"/>
      <c r="C422" s="741" t="n"/>
      <c r="D422" s="741" t="n"/>
      <c r="E422" s="741" t="n"/>
    </row>
    <row r="423">
      <c r="A423" s="555" t="n"/>
      <c r="B423" s="555" t="n"/>
      <c r="C423" s="741" t="n"/>
      <c r="D423" s="741" t="n"/>
      <c r="E423" s="741" t="n"/>
    </row>
    <row r="424">
      <c r="A424" s="555" t="n"/>
      <c r="B424" s="555" t="n"/>
      <c r="C424" s="741" t="n"/>
      <c r="D424" s="740" t="n"/>
      <c r="E424" s="740" t="n"/>
    </row>
    <row r="425">
      <c r="A425" s="555" t="n"/>
      <c r="B425" s="555" t="n"/>
      <c r="C425" s="741" t="n"/>
      <c r="D425" s="740" t="n"/>
      <c r="E425" s="740" t="n"/>
    </row>
    <row r="426">
      <c r="A426" s="555" t="n"/>
      <c r="B426" s="555" t="n"/>
      <c r="C426" s="740" t="n"/>
      <c r="D426" s="740" t="n"/>
      <c r="E426" s="740" t="n"/>
    </row>
    <row r="427">
      <c r="A427" s="555" t="n"/>
      <c r="B427" s="555" t="n"/>
      <c r="C427" s="740" t="n"/>
      <c r="D427" s="740" t="n"/>
      <c r="E427" s="741" t="n"/>
    </row>
    <row r="428">
      <c r="A428" s="555" t="n"/>
      <c r="B428" s="555" t="n"/>
      <c r="C428" s="741" t="n"/>
      <c r="D428" s="740" t="n"/>
      <c r="E428" s="740" t="n"/>
    </row>
    <row r="429">
      <c r="A429" s="555" t="n"/>
      <c r="B429" s="555" t="n"/>
      <c r="C429" s="741" t="n"/>
      <c r="D429" s="740" t="n"/>
      <c r="E429" s="740" t="n"/>
    </row>
    <row r="430">
      <c r="A430" s="555" t="n"/>
      <c r="B430" s="555" t="n"/>
      <c r="C430" s="741" t="n"/>
      <c r="D430" s="740" t="n"/>
      <c r="E430" s="741" t="n"/>
    </row>
    <row r="431">
      <c r="A431" s="555" t="n"/>
      <c r="B431" s="555" t="n"/>
      <c r="C431" s="741" t="n"/>
      <c r="D431" s="740" t="n"/>
      <c r="E431" s="741" t="n"/>
    </row>
    <row r="432">
      <c r="A432" s="555" t="n"/>
      <c r="B432" s="555" t="n"/>
      <c r="C432" s="741" t="n"/>
      <c r="D432" s="740" t="n"/>
      <c r="E432" s="741" t="n"/>
    </row>
    <row r="433">
      <c r="A433" s="555" t="n"/>
      <c r="B433" s="555" t="n"/>
      <c r="C433" s="741" t="n"/>
      <c r="D433" s="740" t="n"/>
      <c r="E433" s="741" t="n"/>
    </row>
    <row r="434">
      <c r="A434" s="555" t="n"/>
      <c r="B434" s="555" t="n"/>
      <c r="C434" s="741" t="n"/>
      <c r="D434" s="740" t="n"/>
      <c r="E434" s="741" t="n"/>
    </row>
    <row r="435">
      <c r="A435" s="555" t="n"/>
      <c r="B435" s="555" t="n"/>
      <c r="C435" s="741" t="n"/>
      <c r="D435" s="741" t="n"/>
      <c r="E435" s="740" t="n"/>
    </row>
    <row r="436">
      <c r="A436" s="555" t="n"/>
      <c r="B436" s="555" t="n"/>
      <c r="C436" s="741" t="n"/>
      <c r="D436" s="740" t="n"/>
      <c r="E436" s="740" t="n"/>
    </row>
    <row r="437">
      <c r="A437" s="555" t="n"/>
      <c r="B437" s="555" t="n"/>
      <c r="C437" s="741" t="n"/>
      <c r="D437" s="741" t="n"/>
      <c r="E437" s="740" t="n"/>
    </row>
    <row r="438">
      <c r="A438" s="555" t="n"/>
      <c r="B438" s="555" t="n"/>
      <c r="C438" s="741" t="n"/>
      <c r="D438" s="740" t="n"/>
      <c r="E438" s="740" t="n"/>
    </row>
    <row r="439">
      <c r="A439" s="555" t="n"/>
      <c r="B439" s="555" t="n"/>
      <c r="C439" s="741" t="n"/>
      <c r="D439" s="741" t="n"/>
      <c r="E439" s="740" t="n"/>
    </row>
    <row r="440">
      <c r="A440" s="555" t="n"/>
      <c r="B440" s="555" t="n"/>
      <c r="C440" s="741" t="n"/>
      <c r="D440" s="740" t="n"/>
      <c r="E440" s="741" t="n"/>
    </row>
    <row r="441">
      <c r="A441" s="555" t="n"/>
      <c r="B441" s="555" t="n"/>
      <c r="C441" s="741" t="n"/>
      <c r="D441" s="740" t="n"/>
      <c r="E441" s="741" t="n"/>
    </row>
    <row r="442">
      <c r="A442" s="555" t="n"/>
      <c r="B442" s="555" t="n"/>
      <c r="C442" s="741" t="n"/>
      <c r="D442" s="740" t="n"/>
      <c r="E442" s="741" t="n"/>
    </row>
    <row r="443">
      <c r="A443" s="555" t="n"/>
      <c r="B443" s="555" t="n"/>
      <c r="C443" s="741" t="n"/>
      <c r="D443" s="740" t="n"/>
      <c r="E443" s="740" t="n"/>
    </row>
    <row r="444">
      <c r="A444" s="555" t="n"/>
      <c r="B444" s="555" t="n"/>
      <c r="C444" s="741" t="n"/>
      <c r="D444" s="740" t="n"/>
      <c r="E444" s="741" t="n"/>
    </row>
    <row r="445">
      <c r="A445" s="555" t="n"/>
      <c r="B445" s="555" t="n"/>
      <c r="C445" s="741" t="n"/>
      <c r="D445" s="740" t="n"/>
      <c r="E445" s="741" t="n"/>
    </row>
    <row r="446">
      <c r="A446" s="555" t="n"/>
      <c r="B446" s="555" t="n"/>
      <c r="C446" s="741" t="n"/>
      <c r="D446" s="740" t="n"/>
      <c r="E446" s="741" t="n"/>
    </row>
    <row r="447">
      <c r="A447" s="555" t="n"/>
      <c r="B447" s="555" t="n"/>
      <c r="C447" s="741" t="n"/>
      <c r="D447" s="740" t="n"/>
      <c r="E447" s="741" t="n"/>
    </row>
    <row r="448">
      <c r="A448" s="555" t="n"/>
      <c r="B448" s="555" t="n"/>
      <c r="C448" s="741" t="n"/>
      <c r="D448" s="740" t="n"/>
      <c r="E448" s="741" t="n"/>
    </row>
    <row r="449">
      <c r="A449" s="555" t="n"/>
      <c r="B449" s="555" t="n"/>
      <c r="C449" s="741" t="n"/>
      <c r="D449" s="740" t="n"/>
      <c r="E449" s="740" t="n"/>
    </row>
    <row r="450">
      <c r="A450" s="555" t="n"/>
      <c r="B450" s="555" t="n"/>
      <c r="C450" s="741" t="n"/>
      <c r="D450" s="740" t="n"/>
      <c r="E450" s="740" t="n"/>
    </row>
    <row r="451">
      <c r="A451" s="555" t="n"/>
      <c r="B451" s="555" t="n"/>
      <c r="C451" s="741" t="n"/>
      <c r="D451" s="741" t="n"/>
      <c r="E451" s="740" t="n"/>
    </row>
    <row r="452">
      <c r="A452" s="555" t="n"/>
      <c r="B452" s="555" t="n"/>
      <c r="C452" s="741" t="n"/>
      <c r="D452" s="740" t="n"/>
      <c r="E452" s="740" t="n"/>
    </row>
    <row r="453">
      <c r="A453" s="555" t="n"/>
      <c r="B453" s="555" t="n"/>
      <c r="C453" s="741" t="n"/>
      <c r="D453" s="740" t="n"/>
      <c r="E453" s="741" t="n"/>
    </row>
    <row r="454">
      <c r="A454" s="555" t="n"/>
      <c r="B454" s="555" t="n"/>
      <c r="C454" s="740" t="n"/>
      <c r="D454" s="740" t="n"/>
      <c r="E454" s="741" t="n"/>
    </row>
    <row r="455">
      <c r="A455" s="555" t="n"/>
      <c r="B455" s="555" t="n"/>
      <c r="C455" s="740" t="n"/>
      <c r="D455" s="740" t="n"/>
      <c r="E455" s="741" t="n"/>
    </row>
    <row r="456">
      <c r="A456" s="555" t="n"/>
      <c r="B456" s="555" t="n"/>
      <c r="C456" s="740" t="n"/>
      <c r="D456" s="740" t="n"/>
      <c r="E456" s="741" t="n"/>
    </row>
    <row r="457">
      <c r="A457" s="555" t="n"/>
      <c r="B457" s="555" t="n"/>
      <c r="C457" s="740" t="n"/>
      <c r="D457" s="740" t="n"/>
      <c r="E457" s="741" t="n"/>
    </row>
    <row r="458">
      <c r="A458" s="555" t="n"/>
      <c r="B458" s="555" t="n"/>
      <c r="C458" s="740" t="n"/>
      <c r="D458" s="740" t="n"/>
      <c r="E458" s="741" t="n"/>
    </row>
    <row r="459">
      <c r="A459" s="555" t="n"/>
      <c r="B459" s="555" t="n"/>
      <c r="C459" s="741" t="n"/>
      <c r="D459" s="740" t="n"/>
      <c r="E459" s="741" t="n"/>
    </row>
    <row r="460">
      <c r="A460" s="555" t="n"/>
      <c r="B460" s="555" t="n"/>
      <c r="C460" s="741" t="n"/>
      <c r="D460" s="740" t="n"/>
      <c r="E460" s="741" t="n"/>
    </row>
    <row r="461">
      <c r="A461" s="555" t="n"/>
      <c r="B461" s="555" t="n"/>
      <c r="C461" s="741" t="n"/>
      <c r="D461" s="741" t="n"/>
      <c r="E461" s="740" t="n"/>
    </row>
    <row r="462">
      <c r="A462" s="555" t="n"/>
      <c r="B462" s="555" t="n"/>
      <c r="C462" s="740" t="n"/>
      <c r="D462" s="740" t="n"/>
      <c r="E462" s="741" t="n"/>
    </row>
    <row r="463">
      <c r="A463" s="555" t="n"/>
      <c r="B463" s="555" t="n"/>
      <c r="C463" s="740" t="n"/>
      <c r="D463" s="740" t="n"/>
      <c r="E463" s="740" t="n"/>
    </row>
    <row r="464">
      <c r="A464" s="555" t="n"/>
      <c r="B464" s="555" t="n"/>
      <c r="C464" s="741" t="n"/>
      <c r="D464" s="740" t="n"/>
      <c r="E464" s="741" t="n"/>
    </row>
    <row r="465">
      <c r="A465" s="555" t="n"/>
      <c r="B465" s="555" t="n"/>
      <c r="C465" s="741" t="n"/>
      <c r="D465" s="740" t="n"/>
      <c r="E465" s="741" t="n"/>
    </row>
    <row r="466">
      <c r="A466" s="555" t="n"/>
      <c r="B466" s="555" t="n"/>
      <c r="C466" s="741" t="n"/>
      <c r="D466" s="740" t="n"/>
      <c r="E466" s="741" t="n"/>
    </row>
    <row r="467">
      <c r="A467" s="555" t="n"/>
      <c r="B467" s="555" t="n"/>
      <c r="C467" s="741" t="n"/>
      <c r="D467" s="740" t="n"/>
      <c r="E467" s="741" t="n"/>
    </row>
    <row r="468">
      <c r="A468" s="555" t="n"/>
      <c r="B468" s="555" t="n"/>
      <c r="C468" s="741" t="n"/>
      <c r="D468" s="740" t="n"/>
      <c r="E468" s="741" t="n"/>
    </row>
    <row r="469">
      <c r="A469" s="555" t="n"/>
      <c r="B469" s="555" t="n"/>
      <c r="C469" s="741" t="n"/>
      <c r="D469" s="740" t="n"/>
      <c r="E469" s="741" t="n"/>
    </row>
    <row r="470">
      <c r="A470" s="555" t="n"/>
      <c r="B470" s="555" t="n"/>
      <c r="C470" s="741" t="n"/>
      <c r="D470" s="740" t="n"/>
      <c r="E470" s="740" t="n"/>
    </row>
    <row r="471">
      <c r="A471" s="555" t="n"/>
      <c r="B471" s="555" t="n"/>
      <c r="C471" s="741" t="n"/>
      <c r="D471" s="740" t="n"/>
      <c r="E471" s="740" t="n"/>
    </row>
    <row r="472">
      <c r="A472" s="555" t="n"/>
      <c r="B472" s="555" t="n"/>
      <c r="C472" s="741" t="n"/>
      <c r="D472" s="741" t="n"/>
      <c r="E472" s="740" t="n"/>
    </row>
    <row r="473">
      <c r="A473" s="555" t="n"/>
      <c r="B473" s="555" t="n"/>
      <c r="C473" s="741" t="n"/>
      <c r="D473" s="740" t="n"/>
      <c r="E473" s="741" t="n"/>
    </row>
    <row r="474">
      <c r="A474" s="555" t="n"/>
      <c r="B474" s="555" t="n"/>
      <c r="C474" s="741" t="n"/>
      <c r="D474" s="740" t="n"/>
      <c r="E474" s="740" t="n"/>
    </row>
    <row r="475">
      <c r="A475" s="555" t="n"/>
      <c r="B475" s="555" t="n"/>
      <c r="C475" s="741" t="n"/>
      <c r="D475" s="740" t="n"/>
      <c r="E475" s="741" t="n"/>
    </row>
    <row r="476">
      <c r="A476" s="555" t="n"/>
      <c r="B476" s="555" t="n"/>
      <c r="C476" s="741" t="n"/>
      <c r="D476" s="740" t="n"/>
      <c r="E476" s="740" t="n"/>
    </row>
    <row r="477">
      <c r="A477" s="555" t="n"/>
      <c r="B477" s="555" t="n"/>
      <c r="C477" s="741" t="n"/>
      <c r="D477" s="740" t="n"/>
      <c r="E477" s="741" t="n"/>
    </row>
    <row r="478">
      <c r="A478" s="555" t="n"/>
      <c r="B478" s="555" t="n"/>
      <c r="C478" s="741" t="n"/>
      <c r="D478" s="741" t="n"/>
      <c r="E478" s="740" t="n"/>
    </row>
    <row r="479">
      <c r="A479" s="555" t="n"/>
      <c r="B479" s="555" t="n"/>
      <c r="C479" s="741" t="n"/>
      <c r="D479" s="741" t="n"/>
      <c r="E479" s="740" t="n"/>
    </row>
    <row r="480">
      <c r="A480" s="555" t="n"/>
      <c r="B480" s="555" t="n"/>
      <c r="C480" s="741" t="n"/>
      <c r="D480" s="741" t="n"/>
      <c r="E480" s="740" t="n"/>
    </row>
    <row r="481">
      <c r="A481" s="555" t="n"/>
      <c r="B481" s="555" t="n"/>
      <c r="C481" s="741" t="n"/>
      <c r="D481" s="740" t="n"/>
      <c r="E481" s="741" t="n"/>
    </row>
    <row r="482">
      <c r="A482" s="555" t="n"/>
      <c r="B482" s="555" t="n"/>
      <c r="C482" s="741" t="n"/>
      <c r="D482" s="740" t="n"/>
      <c r="E482" s="741" t="n"/>
    </row>
    <row r="483">
      <c r="A483" s="555" t="n"/>
      <c r="B483" s="555" t="n"/>
      <c r="C483" s="741" t="n"/>
      <c r="D483" s="740" t="n"/>
      <c r="E483" s="740" t="n"/>
    </row>
    <row r="484">
      <c r="A484" s="555" t="n"/>
      <c r="B484" s="555" t="n"/>
      <c r="C484" s="741" t="n"/>
      <c r="D484" s="740" t="n"/>
      <c r="E484" s="740" t="n"/>
    </row>
    <row r="485">
      <c r="A485" s="555" t="n"/>
      <c r="B485" s="555" t="n"/>
      <c r="C485" s="741" t="n"/>
      <c r="D485" s="741" t="n"/>
      <c r="E485" s="740" t="n"/>
    </row>
    <row r="486">
      <c r="A486" s="555" t="n"/>
      <c r="B486" s="555" t="n"/>
      <c r="C486" s="741" t="n"/>
      <c r="D486" s="740" t="n"/>
      <c r="E486" s="740" t="n"/>
    </row>
    <row r="487">
      <c r="A487" s="555" t="n"/>
      <c r="B487" s="555" t="n"/>
      <c r="C487" s="741" t="n"/>
      <c r="D487" s="740" t="n"/>
      <c r="E487" s="741" t="n"/>
    </row>
    <row r="488">
      <c r="A488" s="555" t="n"/>
      <c r="B488" s="555" t="n"/>
      <c r="C488" s="741" t="n"/>
      <c r="D488" s="740" t="n"/>
      <c r="E488" s="741" t="n"/>
    </row>
    <row r="489">
      <c r="A489" s="555" t="n"/>
      <c r="B489" s="555" t="n"/>
      <c r="C489" s="741" t="n"/>
      <c r="D489" s="740" t="n"/>
      <c r="E489" s="740" t="n"/>
    </row>
    <row r="490">
      <c r="A490" s="555" t="n"/>
      <c r="B490" s="555" t="n"/>
      <c r="C490" s="741" t="n"/>
      <c r="D490" s="740" t="n"/>
      <c r="E490" s="740" t="n"/>
    </row>
    <row r="491">
      <c r="A491" s="555" t="n"/>
      <c r="B491" s="555" t="n"/>
      <c r="C491" s="741" t="n"/>
      <c r="D491" s="740" t="n"/>
      <c r="E491" s="740" t="n"/>
    </row>
    <row r="492">
      <c r="A492" s="555" t="n"/>
      <c r="B492" s="555" t="n"/>
      <c r="C492" s="741" t="n"/>
      <c r="D492" s="740" t="n"/>
      <c r="E492" s="741" t="n"/>
    </row>
    <row r="493">
      <c r="A493" s="555" t="n"/>
      <c r="B493" s="555" t="n"/>
      <c r="C493" s="741" t="n"/>
      <c r="D493" s="740" t="n"/>
      <c r="E493" s="741" t="n"/>
    </row>
    <row r="494">
      <c r="A494" s="555" t="n"/>
      <c r="B494" s="555" t="n"/>
      <c r="C494" s="741" t="n"/>
      <c r="D494" s="740" t="n"/>
      <c r="E494" s="741" t="n"/>
    </row>
    <row r="495">
      <c r="A495" s="555" t="n"/>
      <c r="B495" s="555" t="n"/>
      <c r="C495" s="741" t="n"/>
      <c r="D495" s="740" t="n"/>
      <c r="E495" s="741" t="n"/>
    </row>
    <row r="496">
      <c r="A496" s="555" t="n"/>
      <c r="B496" s="555" t="n"/>
      <c r="C496" s="741" t="n"/>
      <c r="D496" s="740" t="n"/>
      <c r="E496" s="740" t="n"/>
    </row>
    <row r="497">
      <c r="A497" s="555" t="n"/>
      <c r="B497" s="555" t="n"/>
      <c r="C497" s="740" t="n"/>
      <c r="D497" s="740" t="n"/>
      <c r="E497" s="740" t="n"/>
    </row>
    <row r="498">
      <c r="A498" s="555" t="n"/>
      <c r="B498" s="555" t="n"/>
      <c r="C498" s="741" t="n"/>
      <c r="D498" s="741" t="n"/>
      <c r="E498" s="741" t="n"/>
    </row>
    <row r="499">
      <c r="A499" s="555" t="n"/>
      <c r="B499" s="555" t="n"/>
      <c r="C499" s="741" t="n"/>
      <c r="D499" s="740" t="n"/>
      <c r="E499" s="740" t="n"/>
    </row>
    <row r="500">
      <c r="A500" s="555" t="n"/>
      <c r="B500" s="555" t="n"/>
      <c r="C500" s="741" t="n"/>
      <c r="D500" s="740" t="n"/>
      <c r="E500" s="740" t="n"/>
    </row>
    <row r="501">
      <c r="A501" s="555" t="n"/>
      <c r="B501" s="555" t="n"/>
      <c r="C501" s="741" t="n"/>
      <c r="D501" s="740" t="n"/>
      <c r="E501" s="740" t="n"/>
    </row>
    <row r="502">
      <c r="A502" s="555" t="n"/>
      <c r="B502" s="555" t="n"/>
      <c r="C502" s="740" t="n"/>
      <c r="D502" s="740" t="n"/>
      <c r="E502" s="740" t="n"/>
    </row>
    <row r="503">
      <c r="A503" s="555" t="n"/>
      <c r="B503" s="555" t="n"/>
      <c r="C503" s="740" t="n"/>
      <c r="D503" s="740" t="n"/>
      <c r="E503" s="740" t="n"/>
    </row>
    <row r="504">
      <c r="A504" s="555" t="n"/>
      <c r="B504" s="555" t="n"/>
      <c r="C504" s="740" t="n"/>
      <c r="D504" s="740" t="n"/>
      <c r="E504" s="740" t="n"/>
    </row>
    <row r="505">
      <c r="A505" s="555" t="n"/>
      <c r="B505" s="555" t="n"/>
      <c r="C505" s="740" t="n"/>
      <c r="D505" s="740" t="n"/>
      <c r="E505" s="740" t="n"/>
    </row>
    <row r="506">
      <c r="A506" s="555" t="n"/>
      <c r="B506" s="555" t="n"/>
      <c r="C506" s="741" t="n"/>
      <c r="D506" s="741" t="n"/>
      <c r="E506" s="740" t="n"/>
    </row>
    <row r="507">
      <c r="A507" s="555" t="n"/>
      <c r="B507" s="555" t="n"/>
      <c r="C507" s="741" t="n"/>
      <c r="D507" s="741" t="n"/>
      <c r="E507" s="740" t="n"/>
    </row>
    <row r="508">
      <c r="A508" s="555" t="n"/>
      <c r="B508" s="555" t="n"/>
      <c r="C508" s="741" t="n"/>
      <c r="D508" s="741" t="n"/>
      <c r="E508" s="740" t="n"/>
    </row>
    <row r="509">
      <c r="A509" s="555" t="n"/>
      <c r="B509" s="555" t="n"/>
      <c r="C509" s="741" t="n"/>
      <c r="D509" s="741" t="n"/>
      <c r="E509" s="740" t="n"/>
    </row>
    <row r="510">
      <c r="A510" s="555" t="n"/>
      <c r="B510" s="555" t="n"/>
      <c r="C510" s="740" t="n"/>
      <c r="D510" s="740" t="n"/>
      <c r="E510" s="740" t="n"/>
    </row>
    <row r="511">
      <c r="A511" s="555" t="n"/>
      <c r="B511" s="555" t="n"/>
      <c r="C511" s="740" t="n"/>
      <c r="D511" s="740" t="n"/>
      <c r="E511" s="740" t="n"/>
    </row>
    <row r="512">
      <c r="A512" s="555" t="n"/>
      <c r="B512" s="555" t="n"/>
      <c r="C512" s="740" t="n"/>
      <c r="D512" s="740" t="n"/>
      <c r="E512" s="740" t="n"/>
    </row>
    <row r="513">
      <c r="A513" s="555" t="n"/>
      <c r="B513" s="555" t="n"/>
      <c r="C513" s="740" t="n"/>
      <c r="D513" s="740" t="n"/>
      <c r="E513" s="740" t="n"/>
    </row>
    <row r="514">
      <c r="A514" s="555" t="n"/>
      <c r="B514" s="555" t="n"/>
      <c r="C514" s="741" t="n"/>
      <c r="D514" s="741" t="n"/>
      <c r="E514" s="740" t="n"/>
    </row>
    <row r="515">
      <c r="A515" s="555" t="n"/>
      <c r="B515" s="555" t="n"/>
      <c r="C515" s="741" t="n"/>
      <c r="D515" s="741" t="n"/>
      <c r="E515" s="740" t="n"/>
    </row>
    <row r="516">
      <c r="A516" s="555" t="n"/>
      <c r="B516" s="555" t="n"/>
      <c r="C516" s="741" t="n"/>
      <c r="D516" s="740" t="n"/>
      <c r="E516" s="740" t="n"/>
    </row>
    <row r="517">
      <c r="A517" s="555" t="n"/>
      <c r="B517" s="555" t="n"/>
      <c r="C517" s="741" t="n"/>
      <c r="D517" s="740" t="n"/>
      <c r="E517" s="740" t="n"/>
    </row>
    <row r="518">
      <c r="A518" s="555" t="n"/>
      <c r="B518" s="555" t="n"/>
      <c r="C518" s="741" t="n"/>
      <c r="D518" s="740" t="n"/>
      <c r="E518" s="740" t="n"/>
    </row>
    <row r="519">
      <c r="A519" s="555" t="n"/>
      <c r="B519" s="555" t="n"/>
      <c r="C519" s="741" t="n"/>
      <c r="D519" s="740" t="n"/>
      <c r="E519" s="740" t="n"/>
    </row>
    <row r="520">
      <c r="A520" s="555" t="n"/>
      <c r="B520" s="555" t="n"/>
      <c r="C520" s="741" t="n"/>
      <c r="D520" s="740" t="n"/>
      <c r="E520" s="740" t="n"/>
    </row>
    <row r="521">
      <c r="A521" s="555" t="n"/>
      <c r="B521" s="555" t="n"/>
      <c r="C521" s="740" t="n"/>
      <c r="D521" s="740" t="n"/>
      <c r="E521" s="740" t="n"/>
    </row>
    <row r="522">
      <c r="A522" s="555" t="n"/>
      <c r="B522" s="555" t="n"/>
      <c r="C522" s="741" t="n"/>
      <c r="D522" s="740" t="n"/>
      <c r="E522" s="740" t="n"/>
    </row>
    <row r="523">
      <c r="A523" s="555" t="n"/>
      <c r="B523" s="555" t="n"/>
      <c r="C523" s="741" t="n"/>
      <c r="D523" s="740" t="n"/>
      <c r="E523" s="741" t="n"/>
    </row>
    <row r="524">
      <c r="A524" s="555" t="n"/>
      <c r="B524" s="555" t="n"/>
      <c r="C524" s="741" t="n"/>
      <c r="D524" s="740" t="n"/>
      <c r="E524" s="741" t="n"/>
    </row>
    <row r="525">
      <c r="A525" s="555" t="n"/>
      <c r="B525" s="555" t="n"/>
      <c r="C525" s="741" t="n"/>
      <c r="D525" s="740" t="n"/>
      <c r="E525" s="741" t="n"/>
    </row>
    <row r="526">
      <c r="A526" s="555" t="n"/>
      <c r="B526" s="555" t="n"/>
      <c r="C526" s="741" t="n"/>
      <c r="D526" s="740" t="n"/>
      <c r="E526" s="741" t="n"/>
    </row>
    <row r="527">
      <c r="A527" s="555" t="n"/>
      <c r="B527" s="555" t="n"/>
      <c r="C527" s="741" t="n"/>
      <c r="D527" s="740" t="n"/>
      <c r="E527" s="741" t="n"/>
    </row>
    <row r="528">
      <c r="A528" s="555" t="n"/>
      <c r="B528" s="555" t="n"/>
      <c r="C528" s="741" t="n"/>
      <c r="D528" s="740" t="n"/>
      <c r="E528" s="741" t="n"/>
    </row>
    <row r="529">
      <c r="A529" s="555" t="n"/>
      <c r="B529" s="555" t="n"/>
      <c r="C529" s="741" t="n"/>
      <c r="D529" s="740" t="n"/>
      <c r="E529" s="741" t="n"/>
    </row>
    <row r="530">
      <c r="A530" s="555" t="n"/>
      <c r="B530" s="555" t="n"/>
      <c r="C530" s="741" t="n"/>
      <c r="D530" s="740" t="n"/>
      <c r="E530" s="741" t="n"/>
    </row>
    <row r="531">
      <c r="A531" s="555" t="n"/>
      <c r="B531" s="555" t="n"/>
      <c r="C531" s="741" t="n"/>
      <c r="D531" s="740" t="n"/>
      <c r="E531" s="740" t="n"/>
    </row>
    <row r="532">
      <c r="A532" s="555" t="n"/>
      <c r="B532" s="555" t="n"/>
      <c r="C532" s="741" t="n"/>
      <c r="D532" s="740" t="n"/>
      <c r="E532" s="741" t="n"/>
    </row>
    <row r="533">
      <c r="A533" s="555" t="n"/>
      <c r="B533" s="555" t="n"/>
      <c r="C533" s="741" t="n"/>
      <c r="D533" s="740" t="n"/>
      <c r="E533" s="741" t="n"/>
    </row>
    <row r="534">
      <c r="A534" s="555" t="n"/>
      <c r="B534" s="555" t="n"/>
      <c r="C534" s="741" t="n"/>
      <c r="D534" s="740" t="n"/>
      <c r="E534" s="741" t="n"/>
    </row>
    <row r="535">
      <c r="A535" s="555" t="n"/>
      <c r="B535" s="555" t="n"/>
      <c r="C535" s="740" t="n"/>
      <c r="D535" s="740" t="n"/>
      <c r="E535" s="740" t="n"/>
    </row>
    <row r="536">
      <c r="A536" s="555" t="n"/>
      <c r="B536" s="555" t="n"/>
      <c r="C536" s="741" t="n"/>
      <c r="D536" s="740" t="n"/>
      <c r="E536" s="741" t="n"/>
    </row>
    <row r="537">
      <c r="A537" s="555" t="n"/>
      <c r="B537" s="555" t="n"/>
      <c r="C537" s="741" t="n"/>
      <c r="D537" s="740" t="n"/>
      <c r="E537" s="741" t="n"/>
    </row>
    <row r="538">
      <c r="A538" s="555" t="n"/>
      <c r="B538" s="555" t="n"/>
      <c r="C538" s="741" t="n"/>
      <c r="D538" s="740" t="n"/>
      <c r="E538" s="741" t="n"/>
    </row>
    <row r="539">
      <c r="A539" s="555" t="n"/>
      <c r="B539" s="555" t="n"/>
      <c r="C539" s="741" t="n"/>
      <c r="D539" s="740" t="n"/>
      <c r="E539" s="740" t="n"/>
    </row>
    <row r="540">
      <c r="A540" s="555" t="n"/>
      <c r="B540" s="555" t="n"/>
      <c r="C540" s="740" t="n"/>
      <c r="D540" s="740" t="n"/>
      <c r="E540" s="741" t="n"/>
    </row>
    <row r="541">
      <c r="A541" s="555" t="n"/>
      <c r="B541" s="555" t="n"/>
      <c r="C541" s="740" t="n"/>
      <c r="D541" s="740" t="n"/>
      <c r="E541" s="740" t="n"/>
    </row>
    <row r="542">
      <c r="A542" s="555" t="n"/>
      <c r="B542" s="555" t="n"/>
      <c r="C542" s="741" t="n"/>
      <c r="D542" s="740" t="n"/>
      <c r="E542" s="740" t="n"/>
    </row>
    <row r="543">
      <c r="A543" s="555" t="n"/>
      <c r="B543" s="555" t="n"/>
      <c r="C543" s="741" t="n"/>
      <c r="D543" s="740" t="n"/>
      <c r="E543" s="740" t="n"/>
    </row>
    <row r="544">
      <c r="A544" s="555" t="n"/>
      <c r="B544" s="555" t="n"/>
      <c r="C544" s="741" t="n"/>
      <c r="D544" s="740" t="n"/>
      <c r="E544" s="740" t="n"/>
    </row>
    <row r="545">
      <c r="A545" s="555" t="n"/>
      <c r="B545" s="555" t="n"/>
      <c r="C545" s="740" t="n"/>
      <c r="D545" s="740" t="n"/>
      <c r="E545" s="740" t="n"/>
    </row>
    <row r="546">
      <c r="A546" s="555" t="n"/>
      <c r="B546" s="555" t="n"/>
    </row>
    <row r="547">
      <c r="A547" s="555" t="n"/>
      <c r="B547" s="555" t="n"/>
    </row>
    <row r="548">
      <c r="A548" s="576" t="n"/>
      <c r="B548" s="555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9"/>
  <sheetViews>
    <sheetView topLeftCell="A133" workbookViewId="0">
      <selection activeCell="C158" sqref="C158"/>
    </sheetView>
  </sheetViews>
  <sheetFormatPr baseColWidth="8" defaultRowHeight="16.5"/>
  <cols>
    <col width="33.375" customWidth="1" style="744" min="1" max="3"/>
  </cols>
  <sheetData>
    <row r="1">
      <c r="A1" s="529" t="inlineStr">
        <is>
          <t>상품관리코드</t>
        </is>
      </c>
      <c r="B1" s="529" t="inlineStr">
        <is>
          <t>상품명</t>
        </is>
      </c>
      <c r="C1" s="529" t="inlineStr">
        <is>
          <t>시점재고</t>
        </is>
      </c>
    </row>
    <row r="2">
      <c r="A2" s="0" t="n"/>
      <c r="B2" s="0" t="n"/>
      <c r="C2" s="0" t="n"/>
    </row>
    <row r="3">
      <c r="A3" s="0" t="n"/>
      <c r="B3" s="0" t="n"/>
      <c r="C3" s="0" t="n"/>
    </row>
    <row r="4">
      <c r="A4" s="0" t="n"/>
      <c r="B4" s="0" t="n"/>
      <c r="C4" s="0" t="n"/>
    </row>
    <row r="5">
      <c r="A5" s="0" t="n"/>
      <c r="B5" s="0" t="n"/>
      <c r="C5" s="0" t="n"/>
    </row>
    <row r="6">
      <c r="A6" s="0" t="n"/>
      <c r="B6" s="0" t="n"/>
      <c r="C6" s="0" t="n"/>
    </row>
    <row r="7">
      <c r="A7" s="0" t="n"/>
      <c r="B7" s="0" t="n"/>
      <c r="C7" s="0" t="n"/>
    </row>
    <row r="8">
      <c r="A8" s="0" t="n"/>
      <c r="B8" s="0" t="n"/>
      <c r="C8" s="0" t="n"/>
    </row>
    <row r="9">
      <c r="A9" s="0" t="n"/>
      <c r="B9" s="0" t="n"/>
      <c r="C9" s="0" t="n"/>
    </row>
    <row r="10">
      <c r="A10" s="0" t="n"/>
      <c r="B10" s="0" t="n"/>
      <c r="C10" s="0" t="n"/>
    </row>
    <row r="11">
      <c r="A11" s="0" t="n"/>
      <c r="B11" s="0" t="n"/>
      <c r="C11" s="0" t="n"/>
    </row>
    <row r="12">
      <c r="A12" s="0" t="n"/>
      <c r="B12" s="0" t="n"/>
      <c r="C12" s="0" t="n"/>
    </row>
    <row r="13">
      <c r="A13" s="0" t="n"/>
      <c r="B13" s="0" t="n"/>
      <c r="C13" s="0" t="n"/>
    </row>
    <row r="14">
      <c r="A14" s="0" t="n"/>
      <c r="B14" s="0" t="n"/>
      <c r="C14" s="0" t="n"/>
    </row>
    <row r="15">
      <c r="A15" s="0" t="n"/>
      <c r="B15" s="0" t="n"/>
      <c r="C15" s="0" t="n"/>
    </row>
    <row r="16">
      <c r="A16" s="0" t="n"/>
      <c r="B16" s="0" t="n"/>
      <c r="C16" s="0" t="n"/>
    </row>
    <row r="17">
      <c r="A17" s="0" t="n"/>
      <c r="B17" s="0" t="n"/>
      <c r="C17" s="0" t="n"/>
    </row>
    <row r="18">
      <c r="A18" s="0" t="n"/>
      <c r="B18" s="0" t="n"/>
      <c r="C18" s="0" t="n"/>
    </row>
    <row r="19">
      <c r="A19" s="0" t="n"/>
      <c r="B19" s="0" t="n"/>
      <c r="C19" s="0" t="n"/>
    </row>
    <row r="20">
      <c r="A20" s="0" t="n"/>
      <c r="B20" s="0" t="n"/>
      <c r="C20" s="0" t="n"/>
    </row>
    <row r="21">
      <c r="A21" s="0" t="n"/>
      <c r="B21" s="0" t="n"/>
      <c r="C21" s="0" t="n"/>
    </row>
    <row r="22">
      <c r="A22" s="0" t="n"/>
      <c r="B22" s="0" t="n"/>
      <c r="C22" s="0" t="n"/>
    </row>
    <row r="23">
      <c r="A23" s="0" t="n"/>
      <c r="B23" s="0" t="n"/>
      <c r="C23" s="0" t="n"/>
    </row>
    <row r="24">
      <c r="A24" s="0" t="n"/>
      <c r="B24" s="0" t="n"/>
      <c r="C24" s="0" t="n"/>
    </row>
    <row r="25">
      <c r="A25" s="0" t="n"/>
      <c r="B25" s="0" t="n"/>
      <c r="C25" s="0" t="n"/>
    </row>
    <row r="26">
      <c r="A26" s="0" t="n"/>
      <c r="B26" s="0" t="n"/>
      <c r="C26" s="0" t="n"/>
    </row>
    <row r="27">
      <c r="A27" s="0" t="n"/>
      <c r="B27" s="0" t="n"/>
      <c r="C27" s="0" t="n"/>
    </row>
    <row r="28">
      <c r="A28" s="0" t="n"/>
      <c r="B28" s="0" t="n"/>
      <c r="C28" s="0" t="n"/>
    </row>
    <row r="29">
      <c r="A29" s="0" t="n"/>
      <c r="B29" s="0" t="n"/>
      <c r="C29" s="0" t="n"/>
    </row>
    <row r="30">
      <c r="A30" s="0" t="n"/>
      <c r="B30" s="0" t="n"/>
      <c r="C30" s="0" t="n"/>
    </row>
    <row r="31">
      <c r="A31" s="0" t="n"/>
      <c r="B31" s="0" t="n"/>
      <c r="C31" s="0" t="n"/>
    </row>
    <row r="32">
      <c r="A32" s="0" t="n"/>
      <c r="B32" s="0" t="n"/>
      <c r="C32" s="0" t="n"/>
    </row>
    <row r="33">
      <c r="A33" s="0" t="n"/>
      <c r="B33" s="0" t="n"/>
      <c r="C33" s="0" t="n"/>
    </row>
    <row r="34">
      <c r="A34" s="0" t="n"/>
      <c r="B34" s="0" t="n"/>
      <c r="C34" s="0" t="n"/>
    </row>
    <row r="35">
      <c r="A35" s="0" t="n"/>
      <c r="B35" s="0" t="n"/>
      <c r="C35" s="0" t="n"/>
    </row>
    <row r="36">
      <c r="A36" s="0" t="n"/>
      <c r="B36" s="0" t="n"/>
      <c r="C36" s="0" t="n"/>
    </row>
    <row r="37">
      <c r="A37" s="0" t="n"/>
      <c r="B37" s="0" t="n"/>
      <c r="C37" s="0" t="n"/>
    </row>
    <row r="38">
      <c r="A38" s="0" t="n"/>
      <c r="B38" s="0" t="n"/>
      <c r="C38" s="0" t="n"/>
    </row>
    <row r="39">
      <c r="A39" s="0" t="n"/>
      <c r="B39" s="0" t="n"/>
      <c r="C39" s="0" t="n"/>
    </row>
    <row r="40">
      <c r="A40" s="0" t="n"/>
      <c r="B40" s="0" t="n"/>
      <c r="C40" s="0" t="n"/>
    </row>
    <row r="41">
      <c r="A41" s="0" t="n"/>
      <c r="B41" s="0" t="n"/>
      <c r="C41" s="0" t="n"/>
    </row>
    <row r="42">
      <c r="A42" s="0" t="n"/>
      <c r="B42" s="0" t="n"/>
      <c r="C42" s="0" t="n"/>
    </row>
    <row r="43">
      <c r="A43" s="0" t="n"/>
      <c r="B43" s="0" t="n"/>
      <c r="C43" s="0" t="n"/>
    </row>
    <row r="44">
      <c r="A44" s="0" t="n"/>
      <c r="B44" s="0" t="n"/>
      <c r="C44" s="0" t="n"/>
    </row>
    <row r="45">
      <c r="A45" s="0" t="n"/>
      <c r="B45" s="0" t="n"/>
      <c r="C45" s="0" t="n"/>
    </row>
    <row r="46">
      <c r="A46" s="0" t="n"/>
      <c r="B46" s="0" t="n"/>
      <c r="C46" s="0" t="n"/>
    </row>
    <row r="47">
      <c r="A47" s="0" t="n"/>
      <c r="B47" s="0" t="n"/>
      <c r="C47" s="0" t="n"/>
    </row>
    <row r="48">
      <c r="A48" s="0" t="n"/>
      <c r="B48" s="0" t="n"/>
      <c r="C48" s="0" t="n"/>
    </row>
    <row r="49">
      <c r="A49" s="0" t="n"/>
      <c r="B49" s="0" t="n"/>
      <c r="C49" s="0" t="n"/>
    </row>
    <row r="50">
      <c r="A50" s="0" t="n"/>
      <c r="B50" s="0" t="n"/>
      <c r="C50" s="0" t="n"/>
    </row>
    <row r="51">
      <c r="A51" s="0" t="n"/>
      <c r="B51" s="0" t="n"/>
      <c r="C51" s="0" t="n"/>
    </row>
    <row r="52">
      <c r="A52" s="0" t="n"/>
      <c r="B52" s="0" t="n"/>
      <c r="C52" s="0" t="n"/>
    </row>
    <row r="53">
      <c r="A53" s="0" t="n"/>
      <c r="B53" s="0" t="n"/>
      <c r="C53" s="0" t="n"/>
    </row>
    <row r="54">
      <c r="A54" s="0" t="n"/>
      <c r="B54" s="0" t="n"/>
      <c r="C54" s="0" t="n"/>
    </row>
    <row r="55">
      <c r="A55" s="0" t="n"/>
      <c r="B55" s="0" t="n"/>
      <c r="C55" s="0" t="n"/>
    </row>
    <row r="56">
      <c r="A56" s="0" t="n"/>
      <c r="B56" s="0" t="n"/>
      <c r="C56" s="0" t="n"/>
    </row>
    <row r="57">
      <c r="A57" s="0" t="n"/>
      <c r="B57" s="0" t="n"/>
      <c r="C57" s="0" t="n"/>
    </row>
    <row r="58">
      <c r="A58" s="0" t="n"/>
      <c r="B58" s="0" t="n"/>
      <c r="C58" s="0" t="n"/>
    </row>
    <row r="59">
      <c r="A59" s="0" t="n"/>
      <c r="B59" s="0" t="n"/>
      <c r="C59" s="0" t="n"/>
    </row>
    <row r="60">
      <c r="A60" s="0" t="n"/>
      <c r="B60" s="0" t="n"/>
      <c r="C60" s="0" t="n"/>
    </row>
    <row r="61">
      <c r="A61" s="0" t="n"/>
      <c r="B61" s="0" t="n"/>
      <c r="C61" s="0" t="n"/>
    </row>
    <row r="62">
      <c r="A62" s="0" t="n"/>
      <c r="B62" s="0" t="n"/>
      <c r="C62" s="0" t="n"/>
    </row>
    <row r="63">
      <c r="A63" s="0" t="n"/>
      <c r="B63" s="0" t="n"/>
      <c r="C63" s="0" t="n"/>
    </row>
    <row r="64">
      <c r="A64" s="0" t="n"/>
      <c r="B64" s="0" t="n"/>
      <c r="C64" s="0" t="n"/>
    </row>
    <row r="65">
      <c r="A65" s="0" t="n"/>
      <c r="B65" s="0" t="n"/>
      <c r="C65" s="0" t="n"/>
    </row>
    <row r="66">
      <c r="A66" s="0" t="n"/>
      <c r="B66" s="0" t="n"/>
      <c r="C66" s="0" t="n"/>
    </row>
    <row r="67">
      <c r="A67" s="0" t="n"/>
      <c r="B67" s="0" t="n"/>
      <c r="C67" s="0" t="n"/>
    </row>
    <row r="68">
      <c r="A68" s="0" t="n"/>
      <c r="B68" s="0" t="n"/>
      <c r="C68" s="0" t="n"/>
    </row>
    <row r="69">
      <c r="A69" s="0" t="n"/>
      <c r="B69" s="0" t="n"/>
      <c r="C69" s="0" t="n"/>
    </row>
    <row r="70">
      <c r="A70" s="0" t="n"/>
      <c r="B70" s="0" t="n"/>
      <c r="C70" s="0" t="n"/>
    </row>
    <row r="71">
      <c r="A71" s="0" t="n"/>
      <c r="B71" s="0" t="n"/>
      <c r="C71" s="0" t="n"/>
    </row>
    <row r="72">
      <c r="A72" s="0" t="n"/>
      <c r="B72" s="0" t="n"/>
      <c r="C72" s="0" t="n"/>
    </row>
    <row r="73">
      <c r="A73" s="0" t="n"/>
      <c r="B73" s="0" t="n"/>
      <c r="C73" s="0" t="n"/>
    </row>
    <row r="74">
      <c r="A74" s="0" t="n"/>
      <c r="B74" s="0" t="n"/>
      <c r="C74" s="0" t="n"/>
    </row>
    <row r="75">
      <c r="A75" s="0" t="n"/>
      <c r="B75" s="0" t="n"/>
      <c r="C75" s="0" t="n"/>
    </row>
    <row r="76">
      <c r="A76" s="0" t="n"/>
      <c r="B76" s="0" t="n"/>
      <c r="C76" s="0" t="n"/>
    </row>
    <row r="77">
      <c r="A77" s="0" t="n"/>
      <c r="B77" s="0" t="n"/>
      <c r="C77" s="0" t="n"/>
    </row>
    <row r="78">
      <c r="A78" s="0" t="n"/>
      <c r="B78" s="0" t="n"/>
      <c r="C78" s="0" t="n"/>
    </row>
    <row r="79">
      <c r="A79" s="0" t="n"/>
      <c r="B79" s="0" t="n"/>
      <c r="C79" s="0" t="n"/>
    </row>
    <row r="80">
      <c r="A80" s="0" t="n"/>
      <c r="B80" s="0" t="n"/>
      <c r="C80" s="0" t="n"/>
    </row>
    <row r="81">
      <c r="A81" s="0" t="n"/>
      <c r="B81" s="0" t="n"/>
      <c r="C81" s="0" t="n"/>
    </row>
    <row r="82">
      <c r="A82" s="0" t="n"/>
      <c r="B82" s="0" t="n"/>
      <c r="C82" s="0" t="n"/>
    </row>
    <row r="83">
      <c r="A83" s="0" t="n"/>
      <c r="B83" s="0" t="n"/>
      <c r="C83" s="0" t="n"/>
    </row>
    <row r="84">
      <c r="A84" s="0" t="n"/>
      <c r="B84" s="0" t="n"/>
      <c r="C84" s="0" t="n"/>
    </row>
    <row r="85">
      <c r="A85" s="0" t="n"/>
      <c r="B85" s="0" t="n"/>
      <c r="C85" s="0" t="n"/>
    </row>
    <row r="86">
      <c r="A86" s="0" t="n"/>
      <c r="B86" s="0" t="n"/>
      <c r="C86" s="0" t="n"/>
    </row>
    <row r="87">
      <c r="A87" s="0" t="n"/>
      <c r="B87" s="0" t="n"/>
      <c r="C87" s="0" t="n"/>
    </row>
    <row r="88">
      <c r="A88" s="0" t="n"/>
      <c r="B88" s="0" t="n"/>
      <c r="C88" s="0" t="n"/>
    </row>
    <row r="89">
      <c r="A89" s="0" t="n"/>
      <c r="B89" s="0" t="n"/>
      <c r="C89" s="0" t="n"/>
    </row>
    <row r="90">
      <c r="A90" s="0" t="n"/>
      <c r="B90" s="0" t="n"/>
      <c r="C90" s="0" t="n"/>
    </row>
    <row r="91">
      <c r="A91" s="0" t="n"/>
      <c r="B91" s="0" t="n"/>
      <c r="C91" s="0" t="n"/>
    </row>
    <row r="92">
      <c r="A92" s="0" t="n"/>
      <c r="B92" s="0" t="n"/>
      <c r="C92" s="0" t="n"/>
    </row>
    <row r="93">
      <c r="A93" s="0" t="n"/>
      <c r="B93" s="0" t="n"/>
      <c r="C93" s="0" t="n"/>
    </row>
    <row r="94">
      <c r="A94" s="0" t="n"/>
      <c r="B94" s="0" t="n"/>
      <c r="C94" s="0" t="n"/>
    </row>
    <row r="95">
      <c r="A95" s="0" t="n"/>
      <c r="B95" s="0" t="n"/>
      <c r="C95" s="0" t="n"/>
    </row>
    <row r="96">
      <c r="A96" s="0" t="n"/>
      <c r="B96" s="0" t="n"/>
      <c r="C96" s="0" t="n"/>
    </row>
    <row r="97">
      <c r="A97" s="0" t="n"/>
      <c r="B97" s="0" t="n"/>
      <c r="C97" s="0" t="n"/>
    </row>
    <row r="98">
      <c r="A98" s="0" t="n"/>
      <c r="B98" s="0" t="n"/>
      <c r="C98" s="0" t="n"/>
    </row>
    <row r="99">
      <c r="A99" s="0" t="n"/>
      <c r="B99" s="0" t="n"/>
      <c r="C99" s="0" t="n"/>
    </row>
    <row r="100">
      <c r="A100" s="0" t="n"/>
      <c r="B100" s="0" t="n"/>
      <c r="C100" s="0" t="n"/>
    </row>
    <row r="101">
      <c r="A101" s="0" t="n"/>
      <c r="B101" s="0" t="n"/>
      <c r="C101" s="0" t="n"/>
    </row>
    <row r="102">
      <c r="A102" s="0" t="n"/>
      <c r="B102" s="0" t="n"/>
      <c r="C102" s="0" t="n"/>
    </row>
    <row r="103">
      <c r="A103" s="0" t="n"/>
      <c r="B103" s="0" t="n"/>
      <c r="C103" s="0" t="n"/>
    </row>
    <row r="104">
      <c r="A104" s="0" t="n"/>
      <c r="B104" s="0" t="n"/>
      <c r="C104" s="0" t="n"/>
    </row>
    <row r="105">
      <c r="A105" s="0" t="n"/>
      <c r="B105" s="0" t="n"/>
      <c r="C105" s="0" t="n"/>
    </row>
    <row r="106">
      <c r="A106" s="0" t="n"/>
      <c r="B106" s="0" t="n"/>
      <c r="C106" s="0" t="n"/>
    </row>
    <row r="107">
      <c r="A107" s="0" t="n"/>
      <c r="B107" s="0" t="n"/>
      <c r="C107" s="0" t="n"/>
    </row>
    <row r="108">
      <c r="A108" s="0" t="n"/>
      <c r="B108" s="0" t="n"/>
      <c r="C108" s="0" t="n"/>
    </row>
    <row r="109">
      <c r="A109" s="0" t="n"/>
      <c r="B109" s="0" t="n"/>
      <c r="C109" s="0" t="n"/>
    </row>
    <row r="110">
      <c r="A110" s="0" t="n"/>
      <c r="B110" s="0" t="n"/>
      <c r="C110" s="0" t="n"/>
    </row>
    <row r="111">
      <c r="A111" s="0" t="n"/>
      <c r="B111" s="0" t="n"/>
      <c r="C111" s="0" t="n"/>
    </row>
    <row r="112">
      <c r="A112" s="0" t="n"/>
      <c r="B112" s="0" t="n"/>
      <c r="C112" s="0" t="n"/>
    </row>
    <row r="113">
      <c r="A113" s="0" t="n"/>
      <c r="B113" s="0" t="n"/>
      <c r="C113" s="0" t="n"/>
    </row>
    <row r="114">
      <c r="A114" s="0" t="n"/>
      <c r="B114" s="0" t="n"/>
      <c r="C114" s="0" t="n"/>
    </row>
    <row r="115">
      <c r="A115" s="0" t="n"/>
      <c r="B115" s="0" t="n"/>
      <c r="C115" s="0" t="n"/>
    </row>
    <row r="116">
      <c r="A116" s="0" t="n"/>
      <c r="B116" s="0" t="n"/>
      <c r="C116" s="0" t="n"/>
    </row>
    <row r="117">
      <c r="A117" s="0" t="n"/>
      <c r="B117" s="0" t="n"/>
      <c r="C117" s="0" t="n"/>
    </row>
    <row r="118">
      <c r="A118" s="0" t="n"/>
      <c r="B118" s="0" t="n"/>
      <c r="C118" s="0" t="n"/>
    </row>
    <row r="119">
      <c r="A119" s="0" t="n"/>
      <c r="B119" s="0" t="n"/>
      <c r="C119" s="0" t="n"/>
    </row>
    <row r="120">
      <c r="A120" s="0" t="n"/>
      <c r="B120" s="0" t="n"/>
      <c r="C120" s="0" t="n"/>
    </row>
    <row r="121">
      <c r="A121" s="0" t="n"/>
      <c r="B121" s="0" t="n"/>
      <c r="C121" s="0" t="n"/>
    </row>
    <row r="122">
      <c r="A122" s="0" t="n"/>
      <c r="B122" s="0" t="n"/>
      <c r="C122" s="0" t="n"/>
    </row>
    <row r="123">
      <c r="A123" s="0" t="n"/>
      <c r="B123" s="0" t="n"/>
      <c r="C123" s="0" t="n"/>
    </row>
    <row r="124">
      <c r="A124" s="0" t="n"/>
      <c r="B124" s="0" t="n"/>
      <c r="C124" s="0" t="n"/>
    </row>
    <row r="125">
      <c r="A125" s="0" t="n"/>
      <c r="B125" s="0" t="n"/>
      <c r="C125" s="0" t="n"/>
    </row>
    <row r="126">
      <c r="A126" s="0" t="n"/>
      <c r="B126" s="0" t="n"/>
      <c r="C126" s="0" t="n"/>
    </row>
    <row r="127">
      <c r="A127" s="0" t="n"/>
      <c r="B127" s="0" t="n"/>
      <c r="C127" s="0" t="n"/>
    </row>
    <row r="128">
      <c r="A128" s="0" t="n"/>
      <c r="B128" s="0" t="n"/>
      <c r="C128" s="0" t="n"/>
    </row>
    <row r="129">
      <c r="A129" s="0" t="n"/>
      <c r="B129" s="0" t="n"/>
      <c r="C129" s="0" t="n"/>
    </row>
    <row r="130">
      <c r="A130" s="0" t="n"/>
      <c r="B130" s="0" t="n"/>
      <c r="C130" s="0" t="n"/>
    </row>
    <row r="131">
      <c r="A131" s="0" t="n"/>
      <c r="B131" s="0" t="n"/>
      <c r="C131" s="0" t="n"/>
    </row>
    <row r="132">
      <c r="A132" s="0" t="n"/>
      <c r="B132" s="0" t="n"/>
      <c r="C132" s="0" t="n"/>
    </row>
    <row r="133">
      <c r="A133" s="0" t="n"/>
      <c r="B133" s="0" t="n"/>
      <c r="C133" s="0" t="n"/>
    </row>
    <row r="134">
      <c r="A134" s="0" t="n"/>
      <c r="B134" s="0" t="n"/>
      <c r="C134" s="0" t="n"/>
    </row>
    <row r="135">
      <c r="A135" s="0" t="n"/>
      <c r="B135" s="0" t="n"/>
      <c r="C135" s="0" t="n"/>
    </row>
    <row r="136">
      <c r="A136" s="0" t="n"/>
      <c r="B136" s="0" t="n"/>
      <c r="C136" s="0" t="n"/>
    </row>
    <row r="137">
      <c r="A137" s="0" t="n"/>
      <c r="B137" s="0" t="n"/>
      <c r="C137" s="0" t="n"/>
    </row>
    <row r="138">
      <c r="A138" s="0" t="n"/>
      <c r="B138" s="0" t="n"/>
      <c r="C138" s="0" t="n"/>
    </row>
    <row r="139">
      <c r="A139" s="0" t="n"/>
      <c r="B139" s="0" t="n"/>
      <c r="C139" s="0" t="n"/>
    </row>
    <row r="140">
      <c r="A140" s="0" t="n"/>
      <c r="B140" s="0" t="n"/>
      <c r="C140" s="0" t="n"/>
    </row>
    <row r="141">
      <c r="A141" s="0" t="n"/>
      <c r="B141" s="0" t="n"/>
      <c r="C141" s="0" t="n"/>
    </row>
    <row r="142">
      <c r="A142" s="0" t="n"/>
      <c r="B142" s="0" t="n"/>
      <c r="C142" s="0" t="n"/>
    </row>
    <row r="143">
      <c r="A143" s="0" t="n"/>
      <c r="B143" s="0" t="n"/>
      <c r="C143" s="0" t="n"/>
    </row>
    <row r="144">
      <c r="A144" s="0" t="n"/>
      <c r="B144" s="0" t="n"/>
      <c r="C144" s="0" t="n"/>
    </row>
    <row r="145">
      <c r="A145" s="0" t="n"/>
      <c r="B145" s="0" t="n"/>
      <c r="C145" s="0" t="n"/>
    </row>
    <row r="146">
      <c r="A146" s="0" t="n"/>
      <c r="B146" s="0" t="n"/>
      <c r="C146" s="0" t="n"/>
    </row>
    <row r="147">
      <c r="A147" s="0" t="n"/>
      <c r="B147" s="0" t="n"/>
      <c r="C147" s="0" t="n"/>
    </row>
    <row r="148">
      <c r="A148" s="0" t="n"/>
      <c r="B148" s="0" t="n"/>
      <c r="C148" s="0" t="n"/>
    </row>
    <row r="149">
      <c r="A149" s="0" t="n"/>
      <c r="B149" s="0" t="n"/>
      <c r="C149" s="0" t="n"/>
    </row>
    <row r="150">
      <c r="A150" s="0" t="n"/>
      <c r="B150" s="0" t="n"/>
      <c r="C150" s="0" t="n"/>
    </row>
    <row r="151">
      <c r="A151" s="0" t="n"/>
      <c r="B151" s="0" t="n"/>
      <c r="C151" s="0" t="n"/>
    </row>
    <row r="152">
      <c r="A152" s="0" t="n"/>
      <c r="B152" s="0" t="n"/>
      <c r="C152" s="0" t="n"/>
    </row>
    <row r="153">
      <c r="A153" s="0" t="n"/>
      <c r="B153" s="0" t="n"/>
      <c r="C153" s="0" t="n"/>
    </row>
    <row r="154">
      <c r="A154" s="0" t="n"/>
      <c r="B154" s="0" t="n"/>
      <c r="C154" s="0" t="n"/>
    </row>
    <row r="155">
      <c r="A155" s="0" t="n"/>
      <c r="B155" s="0" t="n"/>
      <c r="C155" s="0" t="n"/>
    </row>
    <row r="156">
      <c r="A156" s="0" t="n"/>
      <c r="B156" s="0" t="n"/>
      <c r="C156" s="0" t="n"/>
    </row>
    <row r="157">
      <c r="A157" s="0" t="n"/>
      <c r="B157" s="0" t="n"/>
      <c r="C157" s="0" t="n"/>
    </row>
    <row r="158">
      <c r="A158" s="0" t="n"/>
      <c r="B158" s="0" t="n"/>
      <c r="C158" s="0" t="n"/>
    </row>
    <row r="159">
      <c r="A159" s="0" t="n"/>
      <c r="B159" s="0" t="n"/>
      <c r="C159" s="0" t="n"/>
    </row>
    <row r="160">
      <c r="A160" s="0" t="n"/>
      <c r="B160" s="0" t="n"/>
      <c r="C160" s="0" t="n"/>
    </row>
    <row r="161">
      <c r="A161" s="0" t="n"/>
      <c r="B161" s="0" t="n"/>
      <c r="C161" s="0" t="n"/>
    </row>
    <row r="162">
      <c r="A162" s="0" t="n"/>
      <c r="B162" s="0" t="n"/>
      <c r="C162" s="0" t="n"/>
    </row>
    <row r="163">
      <c r="A163" s="0" t="n"/>
      <c r="B163" s="0" t="n"/>
      <c r="C163" s="0" t="n"/>
    </row>
    <row r="164">
      <c r="A164" s="0" t="n"/>
      <c r="B164" s="0" t="n"/>
      <c r="C164" s="0" t="n"/>
    </row>
    <row r="165">
      <c r="A165" s="0" t="n"/>
      <c r="B165" s="0" t="n"/>
      <c r="C165" s="0" t="n"/>
    </row>
    <row r="166">
      <c r="A166" s="0" t="n"/>
      <c r="B166" s="0" t="n"/>
      <c r="C166" s="0" t="n"/>
    </row>
    <row r="167">
      <c r="A167" s="0" t="n"/>
      <c r="B167" s="0" t="n"/>
      <c r="C167" s="0" t="n"/>
    </row>
    <row r="168">
      <c r="A168" s="0" t="n"/>
      <c r="B168" s="0" t="n"/>
      <c r="C168" s="0" t="n"/>
    </row>
    <row r="169">
      <c r="A169" s="0" t="n"/>
      <c r="B169" s="0" t="n"/>
      <c r="C169" s="0" t="n"/>
    </row>
    <row r="170">
      <c r="A170" s="0" t="n"/>
      <c r="B170" s="0" t="n"/>
      <c r="C170" s="0" t="n"/>
    </row>
    <row r="171">
      <c r="A171" s="0" t="n"/>
      <c r="B171" s="0" t="n"/>
      <c r="C171" s="0" t="n"/>
    </row>
    <row r="172">
      <c r="A172" s="0" t="n"/>
      <c r="B172" s="0" t="n"/>
      <c r="C172" s="0" t="n"/>
    </row>
    <row r="173">
      <c r="A173" s="0" t="n"/>
      <c r="B173" s="0" t="n"/>
      <c r="C173" s="0" t="n"/>
    </row>
    <row r="174">
      <c r="A174" s="0" t="n"/>
      <c r="B174" s="0" t="n"/>
      <c r="C174" s="0" t="n"/>
    </row>
    <row r="175">
      <c r="A175" s="0" t="n"/>
      <c r="B175" s="0" t="n"/>
      <c r="C175" s="0" t="n"/>
    </row>
    <row r="176">
      <c r="A176" s="0" t="n"/>
      <c r="B176" s="0" t="n"/>
      <c r="C176" s="0" t="n"/>
    </row>
    <row r="177">
      <c r="A177" s="0" t="n"/>
      <c r="B177" s="0" t="n"/>
      <c r="C177" s="0" t="n"/>
    </row>
    <row r="178">
      <c r="A178" s="0" t="n"/>
      <c r="B178" s="0" t="n"/>
      <c r="C178" s="0" t="n"/>
    </row>
    <row r="179">
      <c r="A179" s="0" t="n"/>
      <c r="B179" s="0" t="n"/>
      <c r="C179" s="0" t="n"/>
    </row>
  </sheetData>
  <autoFilter ref="C1:C18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E145"/>
  <sheetViews>
    <sheetView zoomScaleNormal="100" workbookViewId="0">
      <selection activeCell="D51" sqref="D51"/>
    </sheetView>
  </sheetViews>
  <sheetFormatPr baseColWidth="8" defaultRowHeight="16.5"/>
  <cols>
    <col collapsed="1" width="15.125" customWidth="1" style="744" min="1" max="5"/>
  </cols>
  <sheetData>
    <row r="1">
      <c r="A1" s="335" t="inlineStr">
        <is>
          <t>회사명 : 주식회사 이모아이 / 2025/04/18</t>
        </is>
      </c>
    </row>
    <row r="2">
      <c r="A2" s="336" t="n"/>
      <c r="B2" s="336" t="n"/>
      <c r="C2" s="336" t="n"/>
      <c r="D2" s="336" t="n"/>
      <c r="E2" s="336" t="n"/>
    </row>
    <row r="3">
      <c r="A3" s="337" t="n"/>
      <c r="B3" s="337" t="n"/>
      <c r="C3" s="338" t="n"/>
      <c r="D3" s="339" t="n"/>
      <c r="E3" s="338" t="n"/>
    </row>
    <row r="4">
      <c r="A4" s="337" t="n"/>
      <c r="B4" s="337" t="n"/>
      <c r="C4" s="339" t="n"/>
      <c r="D4" s="339" t="n"/>
      <c r="E4" s="338" t="n"/>
    </row>
    <row r="5">
      <c r="A5" s="337" t="n"/>
      <c r="B5" s="337" t="n"/>
      <c r="C5" s="339" t="n"/>
      <c r="D5" s="338" t="n"/>
      <c r="E5" s="338" t="n"/>
    </row>
    <row r="6">
      <c r="A6" s="337" t="n"/>
      <c r="B6" s="337" t="n"/>
      <c r="C6" s="338" t="n"/>
      <c r="D6" s="338" t="n"/>
      <c r="E6" s="339" t="n"/>
    </row>
    <row r="7">
      <c r="A7" s="337" t="n"/>
      <c r="B7" s="337" t="n"/>
      <c r="C7" s="339" t="n"/>
      <c r="D7" s="339" t="n"/>
      <c r="E7" s="338" t="n"/>
    </row>
    <row r="8">
      <c r="A8" s="337" t="n"/>
      <c r="B8" s="337" t="n"/>
      <c r="C8" s="339" t="n"/>
      <c r="D8" s="339" t="n"/>
      <c r="E8" s="338" t="n"/>
    </row>
    <row r="9">
      <c r="A9" s="337" t="n"/>
      <c r="B9" s="337" t="n"/>
      <c r="C9" s="339" t="n"/>
      <c r="D9" s="339" t="n"/>
      <c r="E9" s="338" t="n"/>
    </row>
    <row r="10">
      <c r="A10" s="337" t="n"/>
      <c r="B10" s="337" t="n"/>
      <c r="C10" s="338" t="n"/>
      <c r="D10" s="338" t="n"/>
      <c r="E10" s="338" t="n"/>
    </row>
    <row r="11">
      <c r="A11" s="337" t="n"/>
      <c r="B11" s="337" t="n"/>
      <c r="C11" s="338" t="n"/>
      <c r="D11" s="338" t="n"/>
      <c r="E11" s="339" t="n"/>
    </row>
    <row r="12">
      <c r="A12" s="337" t="n"/>
      <c r="B12" s="337" t="n"/>
      <c r="C12" s="339" t="n"/>
      <c r="D12" s="339" t="n"/>
      <c r="E12" s="338" t="n"/>
    </row>
    <row r="13">
      <c r="A13" s="337" t="n"/>
      <c r="B13" s="337" t="n"/>
      <c r="C13" s="338" t="n"/>
      <c r="D13" s="338" t="n"/>
      <c r="E13" s="339" t="n"/>
    </row>
    <row r="14">
      <c r="A14" s="337" t="n"/>
      <c r="B14" s="337" t="n"/>
      <c r="C14" s="338" t="n"/>
      <c r="D14" s="339" t="n"/>
      <c r="E14" s="338" t="n"/>
    </row>
    <row r="15">
      <c r="A15" s="337" t="n"/>
      <c r="B15" s="337" t="n"/>
      <c r="C15" s="338" t="n"/>
      <c r="D15" s="339" t="n"/>
      <c r="E15" s="338" t="n"/>
    </row>
    <row r="16">
      <c r="A16" s="337" t="n"/>
      <c r="B16" s="337" t="n"/>
      <c r="C16" s="338" t="n"/>
      <c r="D16" s="339" t="n"/>
      <c r="E16" s="338" t="n"/>
    </row>
    <row r="17">
      <c r="A17" s="337" t="n"/>
      <c r="B17" s="337" t="n"/>
      <c r="C17" s="338" t="n"/>
      <c r="D17" s="339" t="n"/>
      <c r="E17" s="338" t="n"/>
    </row>
    <row r="18">
      <c r="A18" s="337" t="n"/>
      <c r="B18" s="337" t="n"/>
      <c r="C18" s="338" t="n"/>
      <c r="D18" s="339" t="n"/>
      <c r="E18" s="338" t="n"/>
    </row>
    <row r="19">
      <c r="A19" s="337" t="n"/>
      <c r="B19" s="337" t="n"/>
      <c r="C19" s="338" t="n"/>
      <c r="D19" s="338" t="n"/>
      <c r="E19" s="339" t="n"/>
    </row>
    <row r="20">
      <c r="A20" s="337" t="n"/>
      <c r="B20" s="337" t="n"/>
      <c r="C20" s="338" t="n"/>
      <c r="D20" s="338" t="n"/>
      <c r="E20" s="339" t="n"/>
    </row>
    <row r="21">
      <c r="A21" s="337" t="n"/>
      <c r="B21" s="337" t="n"/>
      <c r="C21" s="338" t="n"/>
      <c r="D21" s="338" t="n"/>
      <c r="E21" s="339" t="n"/>
    </row>
    <row r="22">
      <c r="A22" s="337" t="n"/>
      <c r="B22" s="337" t="n"/>
      <c r="C22" s="338" t="n"/>
      <c r="D22" s="339" t="n"/>
      <c r="E22" s="338" t="n"/>
    </row>
    <row r="23">
      <c r="A23" s="337" t="n"/>
      <c r="B23" s="337" t="n"/>
      <c r="C23" s="339" t="n"/>
      <c r="D23" s="339" t="n"/>
      <c r="E23" s="338" t="n"/>
    </row>
    <row r="24">
      <c r="A24" s="337" t="n"/>
      <c r="B24" s="337" t="n"/>
      <c r="C24" s="338" t="n"/>
      <c r="D24" s="338" t="n"/>
      <c r="E24" s="339" t="n"/>
    </row>
    <row r="25">
      <c r="A25" s="337" t="n"/>
      <c r="B25" s="337" t="n"/>
      <c r="C25" s="338" t="n"/>
      <c r="D25" s="338" t="n"/>
      <c r="E25" s="339" t="n"/>
    </row>
    <row r="26">
      <c r="A26" s="337" t="n"/>
      <c r="B26" s="337" t="n"/>
      <c r="C26" s="338" t="n"/>
      <c r="D26" s="338" t="n"/>
      <c r="E26" s="339" t="n"/>
    </row>
    <row r="27">
      <c r="A27" s="337" t="n"/>
      <c r="B27" s="337" t="n"/>
      <c r="C27" s="338" t="n"/>
      <c r="D27" s="338" t="n"/>
      <c r="E27" s="339" t="n"/>
    </row>
    <row r="28">
      <c r="A28" s="337" t="n"/>
      <c r="B28" s="337" t="n"/>
      <c r="C28" s="338" t="n"/>
      <c r="D28" s="338" t="n"/>
      <c r="E28" s="339" t="n"/>
    </row>
    <row r="29">
      <c r="A29" s="337" t="n"/>
      <c r="B29" s="337" t="n"/>
      <c r="C29" s="338" t="n"/>
      <c r="D29" s="338" t="n"/>
      <c r="E29" s="339" t="n"/>
    </row>
    <row r="30">
      <c r="A30" s="337" t="n"/>
      <c r="B30" s="337" t="n"/>
      <c r="C30" s="338" t="n"/>
      <c r="D30" s="338" t="n"/>
      <c r="E30" s="339" t="n"/>
    </row>
    <row r="31">
      <c r="A31" s="337" t="n"/>
      <c r="B31" s="337" t="n"/>
      <c r="C31" s="338" t="n"/>
      <c r="D31" s="338" t="n"/>
      <c r="E31" s="339" t="n"/>
    </row>
    <row r="32">
      <c r="A32" s="337" t="n"/>
      <c r="B32" s="337" t="n"/>
      <c r="C32" s="338" t="n"/>
      <c r="D32" s="338" t="n"/>
      <c r="E32" s="339" t="n"/>
    </row>
    <row r="33">
      <c r="A33" s="337" t="n"/>
      <c r="B33" s="337" t="n"/>
      <c r="C33" s="338" t="n"/>
      <c r="D33" s="338" t="n"/>
      <c r="E33" s="338" t="n"/>
    </row>
    <row r="34">
      <c r="A34" s="337" t="n"/>
      <c r="B34" s="337" t="n"/>
      <c r="C34" s="339" t="n"/>
      <c r="D34" s="338" t="n"/>
      <c r="E34" s="338" t="n"/>
    </row>
    <row r="35">
      <c r="A35" s="337" t="n"/>
      <c r="B35" s="337" t="n"/>
      <c r="C35" s="338" t="n"/>
      <c r="D35" s="339" t="n"/>
      <c r="E35" s="338" t="n"/>
    </row>
    <row r="36">
      <c r="A36" s="337" t="n"/>
      <c r="B36" s="337" t="n"/>
      <c r="C36" s="338" t="n"/>
      <c r="D36" s="339" t="n"/>
      <c r="E36" s="338" t="n"/>
    </row>
    <row r="37">
      <c r="A37" s="337" t="n"/>
      <c r="B37" s="337" t="n"/>
      <c r="C37" s="338" t="n"/>
      <c r="D37" s="338" t="n"/>
      <c r="E37" s="339" t="n"/>
    </row>
    <row r="38">
      <c r="A38" s="337" t="n"/>
      <c r="B38" s="337" t="n"/>
      <c r="C38" s="338" t="n"/>
      <c r="D38" s="338" t="n"/>
      <c r="E38" s="338" t="n"/>
    </row>
    <row r="39">
      <c r="A39" s="337" t="n"/>
      <c r="B39" s="337" t="n"/>
      <c r="C39" s="338" t="n"/>
      <c r="D39" s="338" t="n"/>
      <c r="E39" s="338" t="n"/>
    </row>
    <row r="40">
      <c r="A40" s="337" t="n"/>
      <c r="B40" s="337" t="n"/>
      <c r="C40" s="338" t="n"/>
      <c r="D40" s="339" t="n"/>
      <c r="E40" s="338" t="n"/>
    </row>
    <row r="41">
      <c r="A41" s="337" t="n"/>
      <c r="B41" s="337" t="n"/>
      <c r="C41" s="338" t="n"/>
      <c r="D41" s="339" t="n"/>
      <c r="E41" s="338" t="n"/>
    </row>
    <row r="42">
      <c r="A42" s="337" t="n"/>
      <c r="B42" s="337" t="n"/>
      <c r="C42" s="338" t="n"/>
      <c r="D42" s="338" t="n"/>
      <c r="E42" s="339" t="n"/>
    </row>
    <row r="43">
      <c r="A43" s="337" t="n"/>
      <c r="B43" s="337" t="n"/>
      <c r="C43" s="338" t="n"/>
      <c r="D43" s="338" t="n"/>
      <c r="E43" s="339" t="n"/>
    </row>
    <row r="44">
      <c r="A44" s="337" t="n"/>
      <c r="B44" s="337" t="n"/>
      <c r="C44" s="338" t="n"/>
      <c r="D44" s="338" t="n"/>
      <c r="E44" s="339" t="n"/>
    </row>
    <row r="45">
      <c r="A45" s="337" t="n"/>
      <c r="B45" s="337" t="n"/>
      <c r="C45" s="339" t="n"/>
      <c r="D45" s="339" t="n"/>
      <c r="E45" s="338" t="n"/>
    </row>
    <row r="46">
      <c r="A46" s="337" t="n"/>
      <c r="B46" s="337" t="n"/>
      <c r="C46" s="339" t="n"/>
      <c r="D46" s="339" t="n"/>
      <c r="E46" s="338" t="n"/>
    </row>
    <row r="47">
      <c r="A47" s="337" t="n"/>
      <c r="B47" s="337" t="n"/>
      <c r="C47" s="338" t="n"/>
      <c r="D47" s="338" t="n"/>
      <c r="E47" s="339" t="n"/>
    </row>
    <row r="48">
      <c r="A48" s="337" t="n"/>
      <c r="B48" s="337" t="n"/>
      <c r="C48" s="338" t="n"/>
      <c r="D48" s="338" t="n"/>
      <c r="E48" s="339" t="n"/>
    </row>
    <row r="49">
      <c r="A49" s="337" t="n"/>
      <c r="B49" s="337" t="n"/>
      <c r="C49" s="338" t="n"/>
      <c r="D49" s="339" t="n"/>
      <c r="E49" s="338" t="n"/>
    </row>
    <row r="50">
      <c r="A50" s="337" t="n"/>
      <c r="B50" s="337" t="n"/>
      <c r="C50" s="338" t="n"/>
      <c r="D50" s="339" t="n"/>
      <c r="E50" s="338" t="n"/>
    </row>
    <row r="51">
      <c r="A51" s="337" t="n"/>
      <c r="B51" s="337" t="n"/>
      <c r="C51" s="338" t="n"/>
      <c r="D51" s="339" t="n"/>
      <c r="E51" s="338" t="n"/>
    </row>
    <row r="52">
      <c r="A52" s="337" t="n"/>
      <c r="B52" s="337" t="n"/>
      <c r="C52" s="338" t="n"/>
      <c r="D52" s="339" t="n"/>
      <c r="E52" s="339" t="n"/>
    </row>
    <row r="53">
      <c r="A53" s="337" t="n"/>
      <c r="B53" s="337" t="n"/>
      <c r="C53" s="338" t="n"/>
      <c r="D53" s="339" t="n"/>
      <c r="E53" s="338" t="n"/>
    </row>
    <row r="54">
      <c r="A54" s="337" t="n"/>
      <c r="B54" s="337" t="n"/>
      <c r="C54" s="338" t="n"/>
      <c r="D54" s="339" t="n"/>
      <c r="E54" s="338" t="n"/>
    </row>
    <row r="55">
      <c r="A55" s="337" t="n"/>
      <c r="B55" s="337" t="n"/>
      <c r="C55" s="339" t="n"/>
      <c r="D55" s="339" t="n"/>
      <c r="E55" s="338" t="n"/>
    </row>
    <row r="56">
      <c r="A56" s="337" t="n"/>
      <c r="B56" s="337" t="n"/>
      <c r="C56" s="338" t="n"/>
      <c r="D56" s="338" t="n"/>
      <c r="E56" s="339" t="n"/>
    </row>
    <row r="57">
      <c r="A57" s="337" t="n"/>
      <c r="B57" s="337" t="n"/>
      <c r="C57" s="339" t="n"/>
      <c r="D57" s="339" t="n"/>
      <c r="E57" s="339" t="n"/>
    </row>
    <row r="58">
      <c r="A58" s="337" t="n"/>
      <c r="B58" s="337" t="n"/>
      <c r="C58" s="338" t="n"/>
      <c r="D58" s="338" t="n"/>
      <c r="E58" s="338" t="n"/>
    </row>
    <row r="59">
      <c r="A59" s="337" t="n"/>
      <c r="B59" s="337" t="n"/>
      <c r="C59" s="338" t="n"/>
      <c r="D59" s="338" t="n"/>
      <c r="E59" s="339" t="n"/>
    </row>
    <row r="60">
      <c r="A60" s="337" t="n"/>
      <c r="B60" s="337" t="n"/>
      <c r="C60" s="338" t="n"/>
      <c r="D60" s="338" t="n"/>
      <c r="E60" s="339" t="n"/>
    </row>
    <row r="61">
      <c r="A61" s="337" t="n"/>
      <c r="B61" s="337" t="n"/>
      <c r="C61" s="338" t="n"/>
      <c r="D61" s="338" t="n"/>
      <c r="E61" s="339" t="n"/>
    </row>
    <row r="62">
      <c r="A62" s="337" t="n"/>
      <c r="B62" s="337" t="n"/>
      <c r="C62" s="338" t="n"/>
      <c r="D62" s="338" t="n"/>
      <c r="E62" s="339" t="n"/>
    </row>
    <row r="63">
      <c r="A63" s="337" t="n"/>
      <c r="B63" s="337" t="n"/>
      <c r="C63" s="338" t="n"/>
      <c r="D63" s="338" t="n"/>
      <c r="E63" s="339" t="n"/>
    </row>
    <row r="64">
      <c r="A64" s="337" t="n"/>
      <c r="B64" s="337" t="n"/>
      <c r="C64" s="338" t="n"/>
      <c r="D64" s="338" t="n"/>
      <c r="E64" s="339" t="n"/>
    </row>
    <row r="65">
      <c r="A65" s="337" t="n"/>
      <c r="B65" s="337" t="n"/>
      <c r="C65" s="338" t="n"/>
      <c r="D65" s="338" t="n"/>
      <c r="E65" s="339" t="n"/>
    </row>
    <row r="66">
      <c r="A66" s="337" t="n"/>
      <c r="B66" s="337" t="n"/>
      <c r="C66" s="338" t="n"/>
      <c r="D66" s="338" t="n"/>
      <c r="E66" s="339" t="n"/>
    </row>
    <row r="67">
      <c r="A67" s="337" t="n"/>
      <c r="B67" s="337" t="n"/>
      <c r="C67" s="338" t="n"/>
      <c r="D67" s="338" t="n"/>
      <c r="E67" s="339" t="n"/>
    </row>
    <row r="68">
      <c r="A68" s="337" t="n"/>
      <c r="B68" s="337" t="n"/>
      <c r="C68" s="339" t="n"/>
      <c r="D68" s="339" t="n"/>
      <c r="E68" s="338" t="n"/>
    </row>
    <row r="69">
      <c r="A69" s="337" t="n"/>
      <c r="B69" s="337" t="n"/>
      <c r="C69" s="339" t="n"/>
      <c r="D69" s="339" t="n"/>
      <c r="E69" s="338" t="n"/>
    </row>
    <row r="70">
      <c r="A70" s="337" t="n"/>
      <c r="B70" s="337" t="n"/>
      <c r="C70" s="339" t="n"/>
      <c r="D70" s="339" t="n"/>
      <c r="E70" s="338" t="n"/>
    </row>
    <row r="71">
      <c r="A71" s="337" t="n"/>
      <c r="B71" s="337" t="n"/>
      <c r="C71" s="339" t="n"/>
      <c r="D71" s="339" t="n"/>
      <c r="E71" s="339" t="n"/>
    </row>
    <row r="72">
      <c r="A72" s="337" t="n"/>
      <c r="B72" s="337" t="n"/>
      <c r="C72" s="338" t="n"/>
      <c r="D72" s="339" t="n"/>
      <c r="E72" s="338" t="n"/>
    </row>
    <row r="73">
      <c r="A73" s="337" t="n"/>
      <c r="B73" s="337" t="n"/>
      <c r="C73" s="339" t="n"/>
      <c r="D73" s="339" t="n"/>
      <c r="E73" s="339" t="n"/>
    </row>
    <row r="74">
      <c r="A74" s="337" t="n"/>
      <c r="B74" s="337" t="n"/>
      <c r="C74" s="338" t="n"/>
      <c r="D74" s="339" t="n"/>
      <c r="E74" s="339" t="n"/>
    </row>
    <row r="75">
      <c r="A75" s="337" t="n"/>
      <c r="B75" s="337" t="n"/>
      <c r="C75" s="339" t="n"/>
      <c r="D75" s="339" t="n"/>
      <c r="E75" s="339" t="n"/>
    </row>
    <row r="76">
      <c r="A76" s="337" t="n"/>
      <c r="B76" s="337" t="n"/>
      <c r="C76" s="338" t="n"/>
      <c r="D76" s="339" t="n"/>
      <c r="E76" s="338" t="n"/>
    </row>
    <row r="77">
      <c r="A77" s="337" t="n"/>
      <c r="B77" s="337" t="n"/>
      <c r="C77" s="339" t="n"/>
      <c r="D77" s="339" t="n"/>
      <c r="E77" s="338" t="n"/>
    </row>
    <row r="78">
      <c r="A78" s="337" t="n"/>
      <c r="B78" s="337" t="n"/>
      <c r="C78" s="339" t="n"/>
      <c r="D78" s="339" t="n"/>
      <c r="E78" s="339" t="n"/>
    </row>
    <row r="79">
      <c r="A79" s="337" t="n"/>
      <c r="B79" s="337" t="n"/>
      <c r="C79" s="338" t="n"/>
      <c r="D79" s="338" t="n"/>
      <c r="E79" s="339" t="n"/>
    </row>
    <row r="80">
      <c r="A80" s="337" t="n"/>
      <c r="B80" s="337" t="n"/>
      <c r="C80" s="339" t="n"/>
      <c r="D80" s="339" t="n"/>
      <c r="E80" s="339" t="n"/>
    </row>
    <row r="81">
      <c r="A81" s="337" t="n"/>
      <c r="B81" s="337" t="n"/>
      <c r="C81" s="338" t="n"/>
      <c r="D81" s="339" t="n"/>
      <c r="E81" s="339" t="n"/>
    </row>
    <row r="82">
      <c r="A82" s="337" t="n"/>
      <c r="B82" s="337" t="n"/>
      <c r="C82" s="338" t="n"/>
      <c r="D82" s="339" t="n"/>
      <c r="E82" s="338" t="n"/>
    </row>
    <row r="83">
      <c r="A83" s="337" t="n"/>
      <c r="B83" s="337" t="n"/>
      <c r="C83" s="338" t="n"/>
      <c r="D83" s="338" t="n"/>
      <c r="E83" s="338" t="n"/>
    </row>
    <row r="84">
      <c r="A84" s="337" t="n"/>
      <c r="B84" s="337" t="n"/>
      <c r="C84" s="339" t="n"/>
      <c r="D84" s="339" t="n"/>
      <c r="E84" s="338" t="n"/>
    </row>
    <row r="85">
      <c r="A85" s="337" t="n"/>
      <c r="B85" s="337" t="n"/>
      <c r="C85" s="339" t="n"/>
      <c r="D85" s="339" t="n"/>
      <c r="E85" s="338" t="n"/>
    </row>
    <row r="86">
      <c r="A86" s="337" t="n"/>
      <c r="B86" s="337" t="n"/>
      <c r="C86" s="339" t="n"/>
      <c r="D86" s="339" t="n"/>
      <c r="E86" s="339" t="n"/>
    </row>
    <row r="87">
      <c r="A87" s="337" t="n"/>
      <c r="B87" s="337" t="n"/>
      <c r="C87" s="339" t="n"/>
      <c r="D87" s="339" t="n"/>
      <c r="E87" s="339" t="n"/>
    </row>
    <row r="88">
      <c r="A88" s="337" t="n"/>
      <c r="B88" s="337" t="n"/>
      <c r="C88" s="338" t="n"/>
      <c r="D88" s="338" t="n"/>
      <c r="E88" s="338" t="n"/>
    </row>
    <row r="89">
      <c r="A89" s="337" t="n"/>
      <c r="B89" s="337" t="n"/>
      <c r="C89" s="339" t="n"/>
      <c r="D89" s="339" t="n"/>
      <c r="E89" s="339" t="n"/>
    </row>
    <row r="90">
      <c r="A90" s="337" t="n"/>
      <c r="B90" s="337" t="n"/>
      <c r="C90" s="339" t="n"/>
      <c r="D90" s="339" t="n"/>
      <c r="E90" s="339" t="n"/>
    </row>
    <row r="91">
      <c r="A91" s="337" t="n"/>
      <c r="B91" s="337" t="n"/>
      <c r="C91" s="338" t="n"/>
      <c r="D91" s="338" t="n"/>
      <c r="E91" s="339" t="n"/>
    </row>
    <row r="92">
      <c r="A92" s="337" t="n"/>
      <c r="B92" s="337" t="n"/>
      <c r="C92" s="338" t="n"/>
      <c r="D92" s="338" t="n"/>
      <c r="E92" s="339" t="n"/>
    </row>
    <row r="93">
      <c r="A93" s="337" t="n"/>
      <c r="B93" s="337" t="n"/>
      <c r="C93" s="338" t="n"/>
      <c r="D93" s="338" t="n"/>
      <c r="E93" s="339" t="n"/>
    </row>
    <row r="94">
      <c r="A94" s="337" t="n"/>
      <c r="B94" s="337" t="n"/>
      <c r="C94" s="338" t="n"/>
      <c r="D94" s="338" t="n"/>
      <c r="E94" s="339" t="n"/>
    </row>
    <row r="95">
      <c r="A95" s="337" t="n"/>
      <c r="B95" s="337" t="n"/>
      <c r="C95" s="338" t="n"/>
      <c r="D95" s="339" t="n"/>
      <c r="E95" s="339" t="n"/>
    </row>
    <row r="96">
      <c r="A96" s="337" t="n"/>
      <c r="B96" s="337" t="n"/>
      <c r="C96" s="339" t="n"/>
      <c r="D96" s="339" t="n"/>
      <c r="E96" s="339" t="n"/>
    </row>
    <row r="97">
      <c r="A97" s="337" t="n"/>
      <c r="B97" s="337" t="n"/>
      <c r="C97" s="339" t="n"/>
      <c r="D97" s="339" t="n"/>
      <c r="E97" s="339" t="n"/>
    </row>
    <row r="98">
      <c r="A98" s="337" t="n"/>
      <c r="B98" s="337" t="n"/>
      <c r="C98" s="338" t="n"/>
      <c r="D98" s="339" t="n"/>
      <c r="E98" s="338" t="n"/>
    </row>
    <row r="99">
      <c r="A99" s="337" t="n"/>
      <c r="B99" s="337" t="n"/>
      <c r="C99" s="339" t="n"/>
      <c r="D99" s="339" t="n"/>
      <c r="E99" s="339" t="n"/>
    </row>
    <row r="100">
      <c r="A100" s="337" t="n"/>
      <c r="B100" s="337" t="n"/>
      <c r="C100" s="339" t="n"/>
      <c r="D100" s="339" t="n"/>
      <c r="E100" s="338" t="n"/>
    </row>
    <row r="101">
      <c r="A101" s="337" t="n"/>
      <c r="B101" s="337" t="n"/>
      <c r="C101" s="338" t="n"/>
      <c r="D101" s="339" t="n"/>
      <c r="E101" s="338" t="n"/>
    </row>
    <row r="102">
      <c r="A102" s="337" t="n"/>
      <c r="B102" s="337" t="n"/>
      <c r="C102" s="339" t="n"/>
      <c r="D102" s="339" t="n"/>
      <c r="E102" s="339" t="n"/>
    </row>
    <row r="103">
      <c r="A103" s="337" t="n"/>
      <c r="B103" s="337" t="n"/>
      <c r="C103" s="339" t="n"/>
      <c r="D103" s="339" t="n"/>
      <c r="E103" s="338" t="n"/>
    </row>
    <row r="104">
      <c r="A104" s="337" t="n"/>
      <c r="B104" s="337" t="n"/>
      <c r="C104" s="339" t="n"/>
      <c r="D104" s="339" t="n"/>
      <c r="E104" s="339" t="n"/>
    </row>
    <row r="105">
      <c r="A105" s="337" t="n"/>
      <c r="B105" s="337" t="n"/>
      <c r="C105" s="339" t="n"/>
      <c r="D105" s="339" t="n"/>
      <c r="E105" s="338" t="n"/>
    </row>
    <row r="106">
      <c r="A106" s="337" t="n"/>
      <c r="B106" s="337" t="n"/>
      <c r="C106" s="339" t="n"/>
      <c r="D106" s="339" t="n"/>
      <c r="E106" s="338" t="n"/>
    </row>
    <row r="107">
      <c r="A107" s="337" t="n"/>
      <c r="B107" s="337" t="n"/>
      <c r="C107" s="339" t="n"/>
      <c r="D107" s="339" t="n"/>
      <c r="E107" s="339" t="n"/>
    </row>
    <row r="108">
      <c r="A108" s="337" t="n"/>
      <c r="B108" s="337" t="n"/>
      <c r="C108" s="339" t="n"/>
      <c r="D108" s="339" t="n"/>
      <c r="E108" s="339" t="n"/>
    </row>
    <row r="109">
      <c r="A109" s="337" t="n"/>
      <c r="B109" s="337" t="n"/>
      <c r="C109" s="338" t="n"/>
      <c r="D109" s="339" t="n"/>
      <c r="E109" s="339" t="n"/>
    </row>
    <row r="110">
      <c r="A110" s="337" t="n"/>
      <c r="B110" s="337" t="n"/>
      <c r="C110" s="338" t="n"/>
      <c r="D110" s="339" t="n"/>
      <c r="E110" s="338" t="n"/>
    </row>
    <row r="111">
      <c r="A111" s="337" t="n"/>
      <c r="B111" s="337" t="n"/>
      <c r="C111" s="338" t="n"/>
      <c r="D111" s="339" t="n"/>
      <c r="E111" s="338" t="n"/>
    </row>
    <row r="112">
      <c r="A112" s="337" t="n"/>
      <c r="B112" s="337" t="n"/>
      <c r="C112" s="339" t="n"/>
      <c r="D112" s="339" t="n"/>
      <c r="E112" s="338" t="n"/>
    </row>
    <row r="113">
      <c r="A113" s="337" t="n"/>
      <c r="B113" s="337" t="n"/>
      <c r="C113" s="338" t="n"/>
      <c r="D113" s="338" t="n"/>
      <c r="E113" s="339" t="n"/>
    </row>
    <row r="114">
      <c r="A114" s="337" t="n"/>
      <c r="B114" s="337" t="n"/>
      <c r="C114" s="338" t="n"/>
      <c r="D114" s="339" t="n"/>
      <c r="E114" s="338" t="n"/>
    </row>
    <row r="115">
      <c r="A115" s="337" t="n"/>
      <c r="B115" s="337" t="n"/>
      <c r="C115" s="338" t="n"/>
      <c r="D115" s="339" t="n"/>
      <c r="E115" s="338" t="n"/>
    </row>
    <row r="116">
      <c r="A116" s="337" t="n"/>
      <c r="B116" s="337" t="n"/>
      <c r="C116" s="338" t="n"/>
      <c r="D116" s="339" t="n"/>
      <c r="E116" s="338" t="n"/>
    </row>
    <row r="117">
      <c r="A117" s="337" t="n"/>
      <c r="B117" s="337" t="n"/>
      <c r="C117" s="338" t="n"/>
      <c r="D117" s="339" t="n"/>
      <c r="E117" s="338" t="n"/>
    </row>
    <row r="118">
      <c r="A118" s="337" t="n"/>
      <c r="B118" s="337" t="n"/>
      <c r="C118" s="339" t="n"/>
      <c r="D118" s="339" t="n"/>
      <c r="E118" s="338" t="n"/>
    </row>
    <row r="119">
      <c r="A119" s="337" t="n"/>
      <c r="B119" s="337" t="n"/>
      <c r="C119" s="339" t="n"/>
      <c r="D119" s="339" t="n"/>
      <c r="E119" s="338" t="n"/>
    </row>
    <row r="120">
      <c r="A120" s="337" t="n"/>
      <c r="B120" s="337" t="n"/>
      <c r="C120" s="338" t="n"/>
      <c r="D120" s="339" t="n"/>
      <c r="E120" s="338" t="n"/>
    </row>
    <row r="121">
      <c r="A121" s="337" t="n"/>
      <c r="B121" s="337" t="n"/>
      <c r="C121" s="338" t="n"/>
      <c r="D121" s="339" t="n"/>
      <c r="E121" s="338" t="n"/>
    </row>
    <row r="122">
      <c r="A122" s="337" t="n"/>
      <c r="B122" s="337" t="n"/>
      <c r="C122" s="338" t="n"/>
      <c r="D122" s="338" t="n"/>
      <c r="E122" s="339" t="n"/>
    </row>
    <row r="123">
      <c r="A123" s="337" t="n"/>
      <c r="B123" s="337" t="n"/>
      <c r="C123" s="338" t="n"/>
      <c r="D123" s="339" t="n"/>
      <c r="E123" s="338" t="n"/>
    </row>
    <row r="124">
      <c r="A124" s="337" t="n"/>
      <c r="B124" s="337" t="n"/>
      <c r="C124" s="338" t="n"/>
      <c r="D124" s="339" t="n"/>
      <c r="E124" s="338" t="n"/>
    </row>
    <row r="125">
      <c r="A125" s="337" t="n"/>
      <c r="B125" s="337" t="n"/>
      <c r="C125" s="338" t="n"/>
      <c r="D125" s="339" t="n"/>
      <c r="E125" s="338" t="n"/>
    </row>
    <row r="126">
      <c r="A126" s="337" t="n"/>
      <c r="B126" s="337" t="n"/>
      <c r="C126" s="338" t="n"/>
      <c r="D126" s="339" t="n"/>
      <c r="E126" s="338" t="n"/>
    </row>
    <row r="127">
      <c r="A127" s="337" t="n"/>
      <c r="B127" s="337" t="n"/>
      <c r="C127" s="338" t="n"/>
      <c r="D127" s="339" t="n"/>
      <c r="E127" s="338" t="n"/>
    </row>
    <row r="128">
      <c r="A128" s="337" t="n"/>
      <c r="B128" s="337" t="n"/>
      <c r="C128" s="338" t="n"/>
      <c r="D128" s="338" t="n"/>
      <c r="E128" s="339" t="n"/>
    </row>
    <row r="129">
      <c r="A129" s="337" t="n"/>
      <c r="B129" s="337" t="n"/>
      <c r="C129" s="338" t="n"/>
      <c r="D129" s="338" t="n"/>
      <c r="E129" s="339" t="n"/>
    </row>
    <row r="130">
      <c r="A130" s="337" t="n"/>
      <c r="B130" s="337" t="n"/>
      <c r="C130" s="338" t="n"/>
      <c r="D130" s="338" t="n"/>
      <c r="E130" s="339" t="n"/>
    </row>
    <row r="131">
      <c r="A131" s="337" t="n"/>
      <c r="B131" s="337" t="n"/>
      <c r="C131" s="338" t="n"/>
      <c r="D131" s="338" t="n"/>
      <c r="E131" s="339" t="n"/>
    </row>
    <row r="132">
      <c r="A132" s="337" t="n"/>
      <c r="B132" s="337" t="n"/>
      <c r="C132" s="338" t="n"/>
      <c r="D132" s="339" t="n"/>
      <c r="E132" s="338" t="n"/>
    </row>
    <row r="133">
      <c r="A133" s="337" t="n"/>
      <c r="B133" s="337" t="n"/>
      <c r="C133" s="338" t="n"/>
      <c r="D133" s="338" t="n"/>
      <c r="E133" s="339" t="n"/>
    </row>
    <row r="134">
      <c r="A134" s="337" t="n"/>
      <c r="B134" s="337" t="n"/>
      <c r="C134" s="338" t="n"/>
      <c r="D134" s="339" t="n"/>
      <c r="E134" s="339" t="n"/>
    </row>
    <row r="135">
      <c r="A135" s="337" t="n"/>
      <c r="B135" s="337" t="n"/>
      <c r="C135" s="338" t="n"/>
      <c r="D135" s="339" t="n"/>
      <c r="E135" s="338" t="n"/>
    </row>
    <row r="136">
      <c r="A136" s="337" t="n"/>
      <c r="B136" s="337" t="n"/>
      <c r="C136" s="338" t="n"/>
      <c r="D136" s="339" t="n"/>
      <c r="E136" s="339" t="n"/>
    </row>
    <row r="137">
      <c r="A137" s="337" t="n"/>
      <c r="B137" s="337" t="n"/>
      <c r="C137" s="339" t="n"/>
      <c r="D137" s="338" t="n"/>
      <c r="E137" s="338" t="n"/>
    </row>
    <row r="138">
      <c r="A138" s="337" t="n"/>
      <c r="B138" s="337" t="n"/>
      <c r="C138" s="338" t="n"/>
      <c r="D138" s="339" t="n"/>
      <c r="E138" s="338" t="n"/>
    </row>
    <row r="139">
      <c r="A139" s="337" t="n"/>
      <c r="B139" s="337" t="n"/>
      <c r="C139" s="338" t="n"/>
      <c r="D139" s="339" t="n"/>
      <c r="E139" s="338" t="n"/>
    </row>
    <row r="140">
      <c r="A140" s="337" t="n"/>
      <c r="B140" s="337" t="n"/>
      <c r="C140" s="338" t="n"/>
      <c r="D140" s="339" t="n"/>
      <c r="E140" s="338" t="n"/>
    </row>
    <row r="141">
      <c r="A141" s="337" t="n"/>
      <c r="B141" s="337" t="n"/>
      <c r="C141" s="338" t="n"/>
      <c r="D141" s="339" t="n"/>
      <c r="E141" s="339" t="n"/>
    </row>
    <row r="142">
      <c r="A142" s="337" t="n"/>
      <c r="B142" s="337" t="n"/>
      <c r="C142" s="339" t="n"/>
      <c r="D142" s="339" t="n"/>
      <c r="E142" s="339" t="n"/>
    </row>
    <row r="143">
      <c r="A143" s="337" t="n"/>
      <c r="B143" s="337" t="n"/>
      <c r="C143" s="339" t="n"/>
      <c r="D143" s="339" t="n"/>
      <c r="E143" s="339" t="n"/>
    </row>
    <row r="144">
      <c r="A144" s="340" t="n"/>
      <c r="B144" s="337" t="n"/>
      <c r="C144" s="339" t="n"/>
      <c r="D144" s="339" t="n"/>
      <c r="E144" s="339" t="n"/>
    </row>
    <row r="145">
      <c r="A145" s="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P2"/>
  <sheetViews>
    <sheetView showGridLines="0" workbookViewId="0">
      <pane ySplit="1" topLeftCell="A160674" activePane="bottomLeft" state="frozen"/>
      <selection pane="bottomLeft" activeCell="E160707" sqref="E160707"/>
    </sheetView>
  </sheetViews>
  <sheetFormatPr baseColWidth="8" defaultColWidth="8.875" defaultRowHeight="16.5"/>
  <cols>
    <col width="7.125" bestFit="1" customWidth="1" style="6" min="1" max="3"/>
    <col width="8.625" bestFit="1" customWidth="1" style="6" min="4" max="4"/>
    <col width="8.625" customWidth="1" style="6" min="5" max="5"/>
    <col width="0.125" customWidth="1" style="6" min="6" max="6"/>
    <col width="10.875" customWidth="1" style="6" min="7" max="7"/>
    <col width="12.125" customWidth="1" style="6" min="8" max="8"/>
    <col width="15.5" customWidth="1" style="6" min="9" max="9"/>
    <col width="44.5" customWidth="1" style="6" min="10" max="10"/>
    <col width="21.625" bestFit="1" customWidth="1" style="6" min="11" max="11"/>
    <col width="70.625" bestFit="1" customWidth="1" style="6" min="12" max="12"/>
    <col width="8.625" bestFit="1" customWidth="1" style="6" min="13" max="13"/>
    <col width="12" bestFit="1" customWidth="1" style="6" min="14" max="14"/>
    <col width="10.375" bestFit="1" customWidth="1" style="6" min="15" max="15"/>
    <col width="9.375" bestFit="1" customWidth="1" style="6" min="16" max="16"/>
    <col width="9" customWidth="1" style="5" min="17" max="72"/>
  </cols>
  <sheetData>
    <row r="1">
      <c r="A1" s="8">
        <f>VLOOKUP($H1,DAILY!$C:$K,3,FALSE)</f>
        <v/>
      </c>
      <c r="B1" s="8">
        <f>VLOOKUP($H1,DAILY!$C:$K,4,FALSE)</f>
        <v/>
      </c>
      <c r="C1" s="8">
        <f>VLOOKUP($H1,DAILY!$C:$K,5,FALSE)</f>
        <v/>
      </c>
      <c r="D1" s="8">
        <f>VLOOKUP($H1,DAILY!$C:$K,6,FALSE)</f>
        <v/>
      </c>
      <c r="E1" s="8">
        <f>VLOOKUP($H1,DAILY!$C:$K,7,FALSE)</f>
        <v/>
      </c>
      <c r="F1" s="8">
        <f>VLOOKUP($H1,DAILY!$C:$K,9,FALSE)</f>
        <v/>
      </c>
    </row>
    <row r="2">
      <c r="A2" s="2" t="inlineStr">
        <is>
          <t>년</t>
        </is>
      </c>
      <c r="B2" s="2" t="inlineStr">
        <is>
          <t>월</t>
        </is>
      </c>
      <c r="C2" s="2" t="inlineStr">
        <is>
          <t>일</t>
        </is>
      </c>
      <c r="D2" s="2" t="inlineStr">
        <is>
          <t>요일</t>
        </is>
      </c>
      <c r="E2" s="2" t="inlineStr">
        <is>
          <t>주차</t>
        </is>
      </c>
      <c r="F2" s="2" t="inlineStr">
        <is>
          <t>구간</t>
        </is>
      </c>
      <c r="G2" s="7" t="inlineStr">
        <is>
          <t>구분</t>
        </is>
      </c>
      <c r="H2" s="9" t="inlineStr">
        <is>
          <t xml:space="preserve">일별	</t>
        </is>
      </c>
      <c r="I2" s="9" t="inlineStr">
        <is>
          <t xml:space="preserve">거래처코드	</t>
        </is>
      </c>
      <c r="J2" s="10" t="inlineStr">
        <is>
          <t xml:space="preserve">거래처	</t>
        </is>
      </c>
      <c r="K2" s="10" t="inlineStr">
        <is>
          <t xml:space="preserve">품목명[규격]코드	</t>
        </is>
      </c>
      <c r="L2" s="9" t="inlineStr">
        <is>
          <t xml:space="preserve">품목명[규격]	</t>
        </is>
      </c>
      <c r="M2" s="10" t="inlineStr">
        <is>
          <t xml:space="preserve">수량	</t>
        </is>
      </c>
      <c r="N2" s="9" t="inlineStr">
        <is>
          <t xml:space="preserve">공급가액	</t>
        </is>
      </c>
      <c r="O2" s="9" t="inlineStr">
        <is>
          <t xml:space="preserve">부가세	</t>
        </is>
      </c>
      <c r="P2" s="9" t="inlineStr">
        <is>
          <t xml:space="preserve">합계	</t>
        </is>
      </c>
    </row>
    <row r="28315" ht="15.75" customHeight="1" s="744"/>
  </sheetData>
  <autoFilter ref="A2:P138710"/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현재 단계에서는 판매 데이터 제외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1"/>
    <outlinePr summaryBelow="1" summaryRight="1"/>
    <pageSetUpPr/>
  </sheetPr>
  <dimension ref="A1:H336"/>
  <sheetViews>
    <sheetView workbookViewId="0">
      <selection activeCell="D15" sqref="D15"/>
    </sheetView>
  </sheetViews>
  <sheetFormatPr baseColWidth="8" defaultColWidth="9" defaultRowHeight="16.5"/>
  <cols>
    <col collapsed="1" width="21.125" customWidth="1" style="744" min="1" max="1"/>
    <col collapsed="1" width="34.75" customWidth="1" style="744" min="2" max="2"/>
    <col collapsed="1" width="18.125" customWidth="1" style="744" min="3" max="3"/>
    <col width="18.125" customWidth="1" style="820" min="4" max="4"/>
    <col width="9" customWidth="1" style="717" min="5" max="16384"/>
  </cols>
  <sheetData>
    <row r="1">
      <c r="A1" s="554" t="inlineStr">
        <is>
          <t>회사명 : 주식회사 리큐엠 / 2026/07/16</t>
        </is>
      </c>
    </row>
    <row r="2">
      <c r="A2" s="556" t="inlineStr">
        <is>
          <t>품목코드</t>
        </is>
      </c>
      <c r="B2" s="556" t="inlineStr">
        <is>
          <t>품목명[규격]</t>
        </is>
      </c>
      <c r="C2" s="556" t="inlineStr">
        <is>
          <t>재고단가</t>
        </is>
      </c>
      <c r="D2" s="1222" t="inlineStr">
        <is>
          <t>재고단가(+v)</t>
        </is>
      </c>
    </row>
    <row r="3">
      <c r="A3" s="555" t="n"/>
      <c r="B3" s="555" t="n"/>
      <c r="C3" s="1223" t="n"/>
      <c r="D3" s="1224" t="n"/>
    </row>
    <row r="4">
      <c r="A4" s="555" t="n"/>
      <c r="B4" s="555" t="n"/>
      <c r="C4" s="1223" t="n"/>
      <c r="D4" s="1224" t="n"/>
    </row>
    <row r="5">
      <c r="A5" s="555" t="n"/>
      <c r="B5" s="555" t="n"/>
      <c r="C5" s="1223" t="n"/>
      <c r="D5" s="1224" t="n"/>
    </row>
    <row r="6">
      <c r="A6" s="555" t="n"/>
      <c r="B6" s="555" t="n"/>
      <c r="C6" s="1223" t="n"/>
      <c r="D6" s="1224" t="n"/>
    </row>
    <row r="7">
      <c r="A7" s="555" t="n"/>
      <c r="B7" s="555" t="n"/>
      <c r="C7" s="1223" t="n"/>
      <c r="D7" s="1224" t="n"/>
    </row>
    <row r="8">
      <c r="A8" s="555" t="n"/>
      <c r="B8" s="555" t="n"/>
      <c r="C8" s="1223" t="n"/>
      <c r="D8" s="1224" t="n"/>
    </row>
    <row r="9">
      <c r="A9" s="555" t="n"/>
      <c r="B9" s="555" t="n"/>
      <c r="C9" s="1223" t="n"/>
      <c r="D9" s="1224" t="n"/>
    </row>
    <row r="10">
      <c r="A10" s="555" t="n"/>
      <c r="B10" s="555" t="n"/>
      <c r="C10" s="1223" t="n"/>
      <c r="D10" s="1224" t="n"/>
    </row>
    <row r="11">
      <c r="A11" s="555" t="n"/>
      <c r="B11" s="555" t="n"/>
      <c r="C11" s="1223" t="n"/>
      <c r="D11" s="1225" t="n"/>
      <c r="H11" s="1226" t="n"/>
    </row>
    <row r="12">
      <c r="A12" s="555" t="n"/>
      <c r="B12" s="555" t="n"/>
      <c r="C12" s="1223" t="n"/>
      <c r="D12" s="1225" t="n"/>
    </row>
    <row r="13">
      <c r="A13" s="555" t="n"/>
      <c r="B13" s="555" t="n"/>
      <c r="C13" s="1223" t="n"/>
      <c r="D13" s="1225" t="n"/>
    </row>
    <row r="14">
      <c r="A14" s="555" t="n"/>
      <c r="B14" s="555" t="n"/>
      <c r="C14" s="1223" t="n"/>
      <c r="D14" s="1225" t="n"/>
    </row>
    <row r="15">
      <c r="A15" s="555" t="n"/>
      <c r="B15" s="555" t="n"/>
      <c r="C15" s="1223" t="n"/>
      <c r="D15" s="1225" t="n"/>
    </row>
    <row r="16">
      <c r="A16" s="555" t="n"/>
      <c r="B16" s="555" t="n"/>
      <c r="C16" s="1223" t="n"/>
      <c r="D16" s="1225" t="n"/>
    </row>
    <row r="17">
      <c r="A17" s="555" t="n"/>
      <c r="B17" s="555" t="n"/>
      <c r="C17" s="1223" t="n"/>
      <c r="D17" s="1225" t="n"/>
    </row>
    <row r="18">
      <c r="A18" s="555" t="n"/>
      <c r="B18" s="555" t="n"/>
      <c r="C18" s="1223" t="n"/>
      <c r="D18" s="1225" t="n"/>
    </row>
    <row r="19">
      <c r="A19" s="555" t="n"/>
      <c r="B19" s="555" t="n"/>
      <c r="C19" s="1223" t="n"/>
      <c r="D19" s="1225" t="n"/>
    </row>
    <row r="20">
      <c r="A20" s="555" t="n"/>
      <c r="B20" s="555" t="n"/>
      <c r="C20" s="1223" t="n"/>
      <c r="D20" s="1225" t="n"/>
    </row>
    <row r="21">
      <c r="A21" s="555" t="n"/>
      <c r="B21" s="555" t="n"/>
      <c r="C21" s="1223" t="n"/>
      <c r="D21" s="1225" t="n"/>
    </row>
    <row r="22">
      <c r="A22" s="555" t="n"/>
      <c r="B22" s="555" t="n"/>
      <c r="C22" s="1223" t="n"/>
      <c r="D22" s="1225" t="n"/>
    </row>
    <row r="23">
      <c r="A23" s="555" t="n"/>
      <c r="B23" s="555" t="n"/>
      <c r="C23" s="1223" t="n"/>
      <c r="D23" s="1225" t="n"/>
    </row>
    <row r="24">
      <c r="A24" s="555" t="n"/>
      <c r="B24" s="555" t="n"/>
      <c r="C24" s="1223" t="n"/>
      <c r="D24" s="1225" t="n"/>
    </row>
    <row r="25">
      <c r="A25" s="555" t="n"/>
      <c r="B25" s="555" t="n"/>
      <c r="C25" s="1223" t="n"/>
      <c r="D25" s="1225" t="n"/>
    </row>
    <row r="26">
      <c r="A26" s="555" t="n"/>
      <c r="B26" s="555" t="n"/>
      <c r="C26" s="1223" t="n"/>
      <c r="D26" s="1225" t="n"/>
    </row>
    <row r="27">
      <c r="A27" s="555" t="n"/>
      <c r="B27" s="555" t="n"/>
      <c r="C27" s="1223" t="n"/>
      <c r="D27" s="1225" t="n"/>
    </row>
    <row r="28">
      <c r="A28" s="555" t="n"/>
      <c r="B28" s="555" t="n"/>
      <c r="C28" s="1223" t="n"/>
      <c r="D28" s="1225" t="n"/>
    </row>
    <row r="29">
      <c r="A29" s="555" t="n"/>
      <c r="B29" s="555" t="n"/>
      <c r="C29" s="1223" t="n"/>
      <c r="D29" s="1225" t="n"/>
    </row>
    <row r="30">
      <c r="A30" s="555" t="n"/>
      <c r="B30" s="555" t="n"/>
      <c r="C30" s="1223" t="n"/>
      <c r="D30" s="1225" t="n"/>
    </row>
    <row r="31">
      <c r="A31" s="555" t="n"/>
      <c r="B31" s="555" t="n"/>
      <c r="C31" s="1223" t="n"/>
      <c r="D31" s="1225" t="n"/>
    </row>
    <row r="32">
      <c r="A32" s="555" t="n"/>
      <c r="B32" s="555" t="n"/>
      <c r="C32" s="1223" t="n"/>
      <c r="D32" s="1225" t="n"/>
    </row>
    <row r="33">
      <c r="A33" s="555" t="n"/>
      <c r="B33" s="555" t="n"/>
      <c r="C33" s="1223" t="n"/>
      <c r="D33" s="1225" t="n"/>
    </row>
    <row r="34">
      <c r="A34" s="555" t="n"/>
      <c r="B34" s="555" t="n"/>
      <c r="C34" s="1223" t="n"/>
      <c r="D34" s="1225" t="n"/>
    </row>
    <row r="35">
      <c r="A35" s="555" t="n"/>
      <c r="B35" s="555" t="n"/>
      <c r="C35" s="1223" t="n"/>
      <c r="D35" s="1224" t="n"/>
    </row>
    <row r="36">
      <c r="A36" s="555" t="n"/>
      <c r="B36" s="555" t="n"/>
      <c r="C36" s="1223" t="n"/>
      <c r="D36" s="1224" t="n"/>
    </row>
    <row r="37">
      <c r="A37" s="555" t="n"/>
      <c r="B37" s="555" t="n"/>
      <c r="C37" s="1223" t="n"/>
      <c r="D37" s="1224" t="n"/>
    </row>
    <row r="38">
      <c r="A38" s="555" t="n"/>
      <c r="B38" s="555" t="n"/>
      <c r="C38" s="1223" t="n"/>
      <c r="D38" s="1224" t="n"/>
    </row>
    <row r="39">
      <c r="A39" s="555" t="n"/>
      <c r="B39" s="555" t="n"/>
      <c r="C39" s="1223" t="n"/>
      <c r="D39" s="1224" t="n"/>
    </row>
    <row r="40">
      <c r="A40" s="555" t="n"/>
      <c r="B40" s="555" t="n"/>
      <c r="C40" s="1223" t="n"/>
      <c r="D40" s="1224" t="n"/>
    </row>
    <row r="41">
      <c r="A41" s="555" t="n"/>
      <c r="B41" s="555" t="n"/>
      <c r="C41" s="1223" t="n"/>
      <c r="D41" s="1224" t="n"/>
    </row>
    <row r="42">
      <c r="A42" s="555" t="n"/>
      <c r="B42" s="555" t="n"/>
      <c r="C42" s="1223" t="n"/>
      <c r="D42" s="1224" t="n"/>
    </row>
    <row r="43">
      <c r="A43" s="555" t="n"/>
      <c r="B43" s="555" t="n"/>
      <c r="C43" s="1223" t="n"/>
      <c r="D43" s="1224" t="n"/>
    </row>
    <row r="44">
      <c r="A44" s="555" t="n"/>
      <c r="B44" s="555" t="n"/>
      <c r="C44" s="1223" t="n"/>
      <c r="D44" s="1224" t="n"/>
    </row>
    <row r="45">
      <c r="A45" s="555" t="n"/>
      <c r="B45" s="555" t="n"/>
      <c r="C45" s="1223" t="n"/>
      <c r="D45" s="1224" t="n"/>
    </row>
    <row r="46">
      <c r="A46" s="555" t="n"/>
      <c r="B46" s="555" t="n"/>
      <c r="C46" s="1223" t="n"/>
      <c r="D46" s="1224" t="n"/>
    </row>
    <row r="47">
      <c r="A47" s="555" t="n"/>
      <c r="B47" s="555" t="n"/>
      <c r="C47" s="1223" t="n"/>
      <c r="D47" s="1224" t="n"/>
    </row>
    <row r="48">
      <c r="A48" s="555" t="n"/>
      <c r="B48" s="555" t="n"/>
      <c r="C48" s="1223" t="n"/>
      <c r="D48" s="1224" t="n"/>
    </row>
    <row r="49">
      <c r="A49" s="555" t="n"/>
      <c r="B49" s="555" t="n"/>
      <c r="C49" s="1223" t="n"/>
      <c r="D49" s="1224" t="n"/>
    </row>
    <row r="50">
      <c r="A50" s="555" t="n"/>
      <c r="B50" s="555" t="n"/>
      <c r="C50" s="1223" t="n"/>
      <c r="D50" s="1224" t="n"/>
    </row>
    <row r="51">
      <c r="A51" s="555" t="n"/>
      <c r="B51" s="555" t="n"/>
      <c r="C51" s="1223" t="n"/>
      <c r="D51" s="1224" t="n"/>
    </row>
    <row r="52">
      <c r="A52" s="555" t="n"/>
      <c r="B52" s="555" t="n"/>
      <c r="C52" s="1223" t="n"/>
      <c r="D52" s="1224" t="n"/>
    </row>
    <row r="53">
      <c r="A53" s="555" t="n"/>
      <c r="B53" s="555" t="n"/>
      <c r="C53" s="1223" t="n"/>
      <c r="D53" s="1224" t="n"/>
    </row>
    <row r="54">
      <c r="A54" s="555" t="n"/>
      <c r="B54" s="555" t="n"/>
      <c r="C54" s="1223" t="n"/>
      <c r="D54" s="1224" t="n"/>
    </row>
    <row r="55">
      <c r="A55" s="555" t="n"/>
      <c r="B55" s="555" t="n"/>
      <c r="C55" s="1223" t="n"/>
      <c r="D55" s="1224" t="n"/>
    </row>
    <row r="56">
      <c r="A56" s="555" t="n"/>
      <c r="B56" s="555" t="n"/>
      <c r="C56" s="1223" t="n"/>
      <c r="D56" s="1224" t="n"/>
    </row>
    <row r="57">
      <c r="A57" s="555" t="n"/>
      <c r="B57" s="555" t="n"/>
      <c r="C57" s="1223" t="n"/>
      <c r="D57" s="1224" t="n"/>
    </row>
    <row r="58">
      <c r="A58" s="555" t="n"/>
      <c r="B58" s="555" t="n"/>
      <c r="C58" s="1223" t="n"/>
      <c r="D58" s="1224" t="n"/>
    </row>
    <row r="59">
      <c r="A59" s="555" t="n"/>
      <c r="B59" s="555" t="n"/>
      <c r="C59" s="1223" t="n"/>
      <c r="D59" s="1224" t="n"/>
    </row>
    <row r="60">
      <c r="A60" s="555" t="n"/>
      <c r="B60" s="555" t="n"/>
      <c r="C60" s="1223" t="n"/>
      <c r="D60" s="1224" t="n"/>
    </row>
    <row r="61">
      <c r="A61" s="555" t="n"/>
      <c r="B61" s="555" t="n"/>
      <c r="C61" s="1223" t="n"/>
      <c r="D61" s="1224" t="n"/>
    </row>
    <row r="62">
      <c r="A62" s="555" t="n"/>
      <c r="B62" s="555" t="n"/>
      <c r="C62" s="1223" t="n"/>
      <c r="D62" s="1224" t="n"/>
    </row>
    <row r="63">
      <c r="A63" s="555" t="n"/>
      <c r="B63" s="555" t="n"/>
      <c r="C63" s="1223" t="n"/>
      <c r="D63" s="1224" t="n"/>
    </row>
    <row r="64">
      <c r="A64" s="555" t="n"/>
      <c r="B64" s="555" t="n"/>
      <c r="C64" s="1223" t="n"/>
      <c r="D64" s="1224" t="n"/>
    </row>
    <row r="65">
      <c r="A65" s="555" t="n"/>
      <c r="B65" s="555" t="n"/>
      <c r="C65" s="1223" t="n"/>
      <c r="D65" s="1224" t="n"/>
    </row>
    <row r="66">
      <c r="A66" s="555" t="n"/>
      <c r="B66" s="555" t="n"/>
      <c r="C66" s="1223" t="n"/>
      <c r="D66" s="1224" t="n"/>
    </row>
    <row r="67">
      <c r="A67" s="555" t="n"/>
      <c r="B67" s="555" t="n"/>
      <c r="C67" s="1223" t="n"/>
      <c r="D67" s="1224" t="n"/>
    </row>
    <row r="68">
      <c r="A68" s="555" t="n"/>
      <c r="B68" s="555" t="n"/>
      <c r="C68" s="1223" t="n"/>
      <c r="D68" s="1224" t="n"/>
    </row>
    <row r="69">
      <c r="A69" s="555" t="n"/>
      <c r="B69" s="555" t="n"/>
      <c r="C69" s="1223" t="n"/>
      <c r="D69" s="1224" t="n"/>
    </row>
    <row r="70">
      <c r="A70" s="555" t="n"/>
      <c r="B70" s="555" t="n"/>
      <c r="C70" s="1223" t="n"/>
      <c r="D70" s="1224" t="n"/>
    </row>
    <row r="71">
      <c r="A71" s="555" t="n"/>
      <c r="B71" s="555" t="n"/>
      <c r="C71" s="1223" t="n"/>
      <c r="D71" s="1224" t="n"/>
    </row>
    <row r="72">
      <c r="A72" s="555" t="n"/>
      <c r="B72" s="555" t="n"/>
      <c r="C72" s="1223" t="n"/>
      <c r="D72" s="1224" t="n"/>
    </row>
    <row r="73">
      <c r="A73" s="555" t="n"/>
      <c r="B73" s="555" t="n"/>
      <c r="C73" s="1223" t="n"/>
      <c r="D73" s="1224" t="n"/>
    </row>
    <row r="74">
      <c r="A74" s="555" t="n"/>
      <c r="B74" s="555" t="n"/>
      <c r="C74" s="1223" t="n"/>
      <c r="D74" s="1224" t="n"/>
    </row>
    <row r="75">
      <c r="A75" s="555" t="n"/>
      <c r="B75" s="555" t="n"/>
      <c r="C75" s="1223" t="n"/>
      <c r="D75" s="1224" t="n"/>
    </row>
    <row r="76">
      <c r="A76" s="555" t="n"/>
      <c r="B76" s="555" t="n"/>
      <c r="C76" s="1223" t="n"/>
      <c r="D76" s="1224" t="n"/>
    </row>
    <row r="77">
      <c r="A77" s="555" t="n"/>
      <c r="B77" s="555" t="n"/>
      <c r="C77" s="1223" t="n"/>
      <c r="D77" s="1224" t="n"/>
    </row>
    <row r="78">
      <c r="A78" s="555" t="n"/>
      <c r="B78" s="555" t="n"/>
      <c r="C78" s="1223" t="n"/>
      <c r="D78" s="1224" t="n"/>
    </row>
    <row r="79">
      <c r="A79" s="555" t="n"/>
      <c r="B79" s="555" t="n"/>
      <c r="C79" s="1223" t="n"/>
      <c r="D79" s="1224" t="n"/>
    </row>
    <row r="80">
      <c r="A80" s="555" t="n"/>
      <c r="B80" s="555" t="n"/>
      <c r="C80" s="1223" t="n"/>
      <c r="D80" s="1224" t="n"/>
    </row>
    <row r="81">
      <c r="A81" s="555" t="n"/>
      <c r="B81" s="555" t="n"/>
      <c r="C81" s="1223" t="n"/>
      <c r="D81" s="1224" t="n"/>
    </row>
    <row r="82">
      <c r="A82" s="555" t="n"/>
      <c r="B82" s="555" t="n"/>
      <c r="C82" s="1223" t="n"/>
      <c r="D82" s="1224" t="n"/>
    </row>
    <row r="83">
      <c r="A83" s="555" t="n"/>
      <c r="B83" s="555" t="n"/>
      <c r="C83" s="1223" t="n"/>
      <c r="D83" s="1224" t="n"/>
    </row>
    <row r="84">
      <c r="A84" s="555" t="n"/>
      <c r="B84" s="555" t="n"/>
      <c r="C84" s="1223" t="n"/>
      <c r="D84" s="1224" t="n"/>
    </row>
    <row r="85">
      <c r="A85" s="555" t="n"/>
      <c r="B85" s="555" t="n"/>
      <c r="C85" s="1223" t="n"/>
      <c r="D85" s="1224" t="n"/>
    </row>
    <row r="86">
      <c r="A86" s="555" t="n"/>
      <c r="B86" s="555" t="n"/>
      <c r="C86" s="1223" t="n"/>
      <c r="D86" s="1224" t="n"/>
    </row>
    <row r="87">
      <c r="A87" s="555" t="n"/>
      <c r="B87" s="555" t="n"/>
      <c r="C87" s="1223" t="n"/>
      <c r="D87" s="1224" t="n"/>
    </row>
    <row r="88">
      <c r="A88" s="555" t="n"/>
      <c r="B88" s="555" t="n"/>
      <c r="C88" s="1223" t="n"/>
      <c r="D88" s="1224" t="n"/>
    </row>
    <row r="89">
      <c r="A89" s="555" t="n"/>
      <c r="B89" s="555" t="n"/>
      <c r="C89" s="1223" t="n"/>
      <c r="D89" s="1224" t="n"/>
    </row>
    <row r="90">
      <c r="A90" s="555" t="n"/>
      <c r="B90" s="555" t="n"/>
      <c r="C90" s="1223" t="n"/>
      <c r="D90" s="1224" t="n"/>
    </row>
    <row r="91">
      <c r="A91" s="555" t="n"/>
      <c r="B91" s="555" t="n"/>
      <c r="C91" s="1223" t="n"/>
      <c r="D91" s="1224" t="n"/>
    </row>
    <row r="92">
      <c r="A92" s="555" t="n"/>
      <c r="B92" s="555" t="n"/>
      <c r="C92" s="1223" t="n"/>
      <c r="D92" s="1224" t="n"/>
    </row>
    <row r="93">
      <c r="A93" s="555" t="n"/>
      <c r="B93" s="555" t="n"/>
      <c r="C93" s="1223" t="n"/>
      <c r="D93" s="1224" t="n"/>
    </row>
    <row r="94">
      <c r="A94" s="555" t="n"/>
      <c r="B94" s="555" t="n"/>
      <c r="C94" s="1223" t="n"/>
      <c r="D94" s="1224" t="n"/>
    </row>
    <row r="95">
      <c r="A95" s="555" t="n"/>
      <c r="B95" s="555" t="n"/>
      <c r="C95" s="1223" t="n"/>
      <c r="D95" s="1224" t="n"/>
    </row>
    <row r="96">
      <c r="A96" s="555" t="n"/>
      <c r="B96" s="555" t="n"/>
      <c r="C96" s="1223" t="n"/>
      <c r="D96" s="1224" t="n"/>
    </row>
    <row r="97">
      <c r="A97" s="555" t="n"/>
      <c r="B97" s="555" t="n"/>
      <c r="C97" s="1223" t="n"/>
      <c r="D97" s="1224" t="n"/>
    </row>
    <row r="98">
      <c r="A98" s="555" t="n"/>
      <c r="B98" s="555" t="n"/>
      <c r="C98" s="1223" t="n"/>
      <c r="D98" s="1224" t="n"/>
    </row>
    <row r="99">
      <c r="A99" s="555" t="n"/>
      <c r="B99" s="555" t="n"/>
      <c r="C99" s="1223" t="n"/>
      <c r="D99" s="1224" t="n"/>
    </row>
    <row r="100">
      <c r="A100" s="555" t="n"/>
      <c r="B100" s="555" t="n"/>
      <c r="C100" s="1223" t="n"/>
      <c r="D100" s="1224" t="n"/>
    </row>
    <row r="101">
      <c r="A101" s="555" t="n"/>
      <c r="B101" s="555" t="n"/>
      <c r="C101" s="1223" t="n"/>
      <c r="D101" s="1224" t="n"/>
    </row>
    <row r="102">
      <c r="A102" s="555" t="n"/>
      <c r="B102" s="555" t="n"/>
      <c r="C102" s="1223" t="n"/>
      <c r="D102" s="1224" t="n"/>
    </row>
    <row r="103">
      <c r="A103" s="555" t="n"/>
      <c r="B103" s="555" t="n"/>
      <c r="C103" s="1223" t="n"/>
      <c r="D103" s="1227" t="n"/>
    </row>
    <row r="104">
      <c r="A104" s="555" t="n"/>
      <c r="B104" s="555" t="n"/>
      <c r="C104" s="1223" t="n"/>
      <c r="D104" s="1228" t="n"/>
    </row>
    <row r="105">
      <c r="A105" s="555" t="n"/>
      <c r="B105" s="555" t="n"/>
      <c r="C105" s="1223" t="n"/>
      <c r="D105" s="1228" t="n"/>
    </row>
    <row r="106">
      <c r="A106" s="555" t="n"/>
      <c r="B106" s="555" t="n"/>
      <c r="C106" s="1223" t="n"/>
      <c r="D106" s="1228" t="n"/>
    </row>
    <row r="107">
      <c r="A107" s="555" t="n"/>
      <c r="B107" s="555" t="n"/>
      <c r="C107" s="1223" t="n"/>
      <c r="D107" s="1228" t="n"/>
    </row>
    <row r="108">
      <c r="A108" s="555" t="n"/>
      <c r="B108" s="555" t="n"/>
      <c r="C108" s="1223" t="n"/>
      <c r="D108" s="1228" t="n"/>
    </row>
    <row r="109">
      <c r="A109" s="555" t="n"/>
      <c r="B109" s="555" t="n"/>
      <c r="C109" s="1223" t="n"/>
      <c r="D109" s="1228" t="n"/>
    </row>
    <row r="110">
      <c r="A110" s="555" t="n"/>
      <c r="B110" s="555" t="n"/>
      <c r="C110" s="1223" t="n"/>
      <c r="D110" s="1228" t="n"/>
    </row>
    <row r="111">
      <c r="A111" s="555" t="n"/>
      <c r="B111" s="555" t="n"/>
      <c r="C111" s="1223" t="n"/>
      <c r="D111" s="1228" t="n"/>
    </row>
    <row r="112">
      <c r="A112" s="555" t="n"/>
      <c r="B112" s="555" t="n"/>
      <c r="C112" s="1223" t="n"/>
      <c r="D112" s="1228" t="n"/>
    </row>
    <row r="113">
      <c r="A113" s="555" t="n"/>
      <c r="B113" s="555" t="n"/>
      <c r="C113" s="1223" t="n"/>
      <c r="D113" s="1228" t="n"/>
    </row>
    <row r="114">
      <c r="A114" s="555" t="n"/>
      <c r="B114" s="555" t="n"/>
      <c r="C114" s="1223" t="n"/>
      <c r="D114" s="1228" t="n"/>
    </row>
    <row r="115">
      <c r="A115" s="555" t="n"/>
      <c r="B115" s="555" t="n"/>
      <c r="C115" s="1223" t="n"/>
      <c r="D115" s="1228" t="n"/>
    </row>
    <row r="116">
      <c r="A116" s="555" t="n"/>
      <c r="B116" s="555" t="n"/>
      <c r="C116" s="1223" t="n"/>
      <c r="D116" s="1228" t="n"/>
    </row>
    <row r="117">
      <c r="A117" s="555" t="n"/>
      <c r="B117" s="555" t="n"/>
      <c r="C117" s="1223" t="n"/>
      <c r="D117" s="1228" t="n"/>
    </row>
    <row r="118">
      <c r="A118" s="555" t="n"/>
      <c r="B118" s="555" t="n"/>
      <c r="C118" s="1223" t="n"/>
      <c r="D118" s="1228" t="n"/>
    </row>
    <row r="119">
      <c r="A119" s="555" t="n"/>
      <c r="B119" s="555" t="n"/>
      <c r="C119" s="1223" t="n"/>
      <c r="D119" s="1228" t="n"/>
    </row>
    <row r="120">
      <c r="A120" s="555" t="n"/>
      <c r="B120" s="555" t="n"/>
      <c r="C120" s="1223" t="n"/>
      <c r="D120" s="1228" t="n"/>
    </row>
    <row r="121">
      <c r="A121" s="555" t="n"/>
      <c r="B121" s="555" t="n"/>
      <c r="C121" s="1223" t="n"/>
      <c r="D121" s="1228" t="n"/>
    </row>
    <row r="122">
      <c r="A122" s="555" t="n"/>
      <c r="B122" s="555" t="n"/>
      <c r="C122" s="1223" t="n"/>
      <c r="D122" s="1228" t="n"/>
    </row>
    <row r="123">
      <c r="A123" s="555" t="n"/>
      <c r="B123" s="555" t="n"/>
      <c r="C123" s="1223" t="n"/>
      <c r="D123" s="1228" t="n"/>
    </row>
    <row r="124">
      <c r="A124" s="555" t="n"/>
      <c r="B124" s="555" t="n"/>
      <c r="C124" s="1223" t="n"/>
      <c r="D124" s="1228" t="n"/>
    </row>
    <row r="125">
      <c r="A125" s="555" t="n"/>
      <c r="B125" s="555" t="n"/>
      <c r="C125" s="1223" t="n"/>
      <c r="D125" s="1228" t="n"/>
    </row>
    <row r="126">
      <c r="A126" s="555" t="n"/>
      <c r="B126" s="555" t="n"/>
      <c r="C126" s="1223" t="n"/>
      <c r="D126" s="1228" t="n"/>
    </row>
    <row r="127">
      <c r="A127" s="555" t="n"/>
      <c r="B127" s="555" t="n"/>
      <c r="C127" s="1223" t="n"/>
      <c r="D127" s="1228" t="n"/>
    </row>
    <row r="128">
      <c r="A128" s="555" t="n"/>
      <c r="B128" s="555" t="n"/>
      <c r="C128" s="1223" t="n"/>
      <c r="D128" s="1228" t="n"/>
    </row>
    <row r="129">
      <c r="A129" s="555" t="n"/>
      <c r="B129" s="555" t="n"/>
      <c r="C129" s="1223" t="n"/>
      <c r="D129" s="1228" t="n"/>
    </row>
    <row r="130">
      <c r="A130" s="555" t="n"/>
      <c r="B130" s="555" t="n"/>
      <c r="C130" s="1223" t="n"/>
      <c r="D130" s="1228" t="n"/>
    </row>
    <row r="131">
      <c r="A131" s="555" t="n"/>
      <c r="B131" s="555" t="n"/>
      <c r="C131" s="1223" t="n"/>
      <c r="D131" s="1228" t="n"/>
    </row>
    <row r="132">
      <c r="A132" s="555" t="n"/>
      <c r="B132" s="555" t="n"/>
      <c r="C132" s="1223" t="n"/>
      <c r="D132" s="1228" t="n"/>
    </row>
    <row r="133">
      <c r="A133" s="555" t="n"/>
      <c r="B133" s="555" t="n"/>
      <c r="C133" s="1223" t="n"/>
      <c r="D133" s="1228" t="n"/>
    </row>
    <row r="134">
      <c r="A134" s="555" t="n"/>
      <c r="B134" s="555" t="n"/>
      <c r="C134" s="1223" t="n"/>
      <c r="D134" s="1228" t="n"/>
    </row>
    <row r="135">
      <c r="A135" s="555" t="n"/>
      <c r="B135" s="555" t="n"/>
      <c r="C135" s="1223" t="n"/>
      <c r="D135" s="1228" t="n"/>
    </row>
    <row r="136">
      <c r="A136" s="555" t="n"/>
      <c r="B136" s="555" t="n"/>
      <c r="C136" s="1223" t="n"/>
      <c r="D136" s="1228" t="n"/>
    </row>
    <row r="137">
      <c r="A137" s="555" t="n"/>
      <c r="B137" s="555" t="n"/>
      <c r="C137" s="1223" t="n"/>
      <c r="D137" s="1228" t="n"/>
    </row>
    <row r="138">
      <c r="A138" s="555" t="n"/>
      <c r="B138" s="555" t="n"/>
      <c r="C138" s="1223" t="n"/>
      <c r="D138" s="1228" t="n"/>
    </row>
    <row r="139">
      <c r="A139" s="555" t="n"/>
      <c r="B139" s="555" t="n"/>
      <c r="C139" s="1223" t="n"/>
      <c r="D139" s="1228" t="n"/>
    </row>
    <row r="140">
      <c r="A140" s="555" t="n"/>
      <c r="B140" s="555" t="n"/>
      <c r="C140" s="1223" t="n"/>
      <c r="D140" s="1228" t="n"/>
    </row>
    <row r="141">
      <c r="A141" s="555" t="n"/>
      <c r="B141" s="555" t="n"/>
      <c r="C141" s="1223" t="n"/>
      <c r="D141" s="1228" t="n"/>
    </row>
    <row r="142">
      <c r="A142" s="555" t="n"/>
      <c r="B142" s="555" t="n"/>
      <c r="C142" s="1223" t="n"/>
      <c r="D142" s="1228" t="n"/>
    </row>
    <row r="143">
      <c r="A143" s="555" t="n"/>
      <c r="B143" s="555" t="n"/>
      <c r="C143" s="1223" t="n"/>
      <c r="D143" s="1228" t="n"/>
    </row>
    <row r="144">
      <c r="A144" s="555" t="n"/>
      <c r="B144" s="555" t="n"/>
      <c r="C144" s="1223" t="n"/>
      <c r="D144" s="1228" t="n"/>
    </row>
    <row r="145">
      <c r="A145" s="555" t="n"/>
      <c r="B145" s="555" t="n"/>
      <c r="C145" s="1223" t="n"/>
      <c r="D145" s="1228" t="n"/>
    </row>
    <row r="146">
      <c r="A146" s="555" t="n"/>
      <c r="B146" s="555" t="n"/>
      <c r="C146" s="1223" t="n"/>
      <c r="D146" s="1228" t="n"/>
    </row>
    <row r="147">
      <c r="A147" s="555" t="n"/>
      <c r="B147" s="555" t="n"/>
      <c r="C147" s="1223" t="n"/>
      <c r="D147" s="1228" t="n"/>
    </row>
    <row r="148">
      <c r="A148" s="555" t="n"/>
      <c r="B148" s="555" t="n"/>
      <c r="C148" s="1223" t="n"/>
      <c r="D148" s="1228" t="n"/>
    </row>
    <row r="149">
      <c r="A149" s="555" t="n"/>
      <c r="B149" s="555" t="n"/>
      <c r="C149" s="1223" t="n"/>
      <c r="D149" s="1228" t="n"/>
    </row>
    <row r="150">
      <c r="A150" s="555" t="n"/>
      <c r="B150" s="555" t="n"/>
      <c r="C150" s="1223" t="n"/>
      <c r="D150" s="1228" t="n"/>
    </row>
    <row r="151">
      <c r="A151" s="555" t="n"/>
      <c r="B151" s="555" t="n"/>
      <c r="C151" s="1223" t="n"/>
      <c r="D151" s="1229" t="n"/>
    </row>
    <row r="152">
      <c r="A152" s="555" t="n"/>
      <c r="B152" s="555" t="n"/>
      <c r="C152" s="1223" t="n"/>
      <c r="D152" s="1230" t="n"/>
    </row>
    <row r="153">
      <c r="A153" s="555" t="n"/>
      <c r="B153" s="555" t="n"/>
      <c r="C153" s="1223" t="n"/>
      <c r="D153" s="1228" t="n"/>
    </row>
    <row r="154">
      <c r="A154" s="555" t="n"/>
      <c r="B154" s="555" t="n"/>
      <c r="C154" s="1223" t="n"/>
      <c r="D154" s="1228" t="n"/>
    </row>
    <row r="155">
      <c r="A155" s="555" t="n"/>
      <c r="B155" s="555" t="n"/>
      <c r="C155" s="1223" t="n"/>
      <c r="D155" s="1229" t="n"/>
    </row>
    <row r="156">
      <c r="A156" s="555" t="n"/>
      <c r="B156" s="555" t="n"/>
      <c r="C156" s="1223" t="n"/>
      <c r="D156" s="1230" t="n"/>
    </row>
    <row r="157">
      <c r="A157" s="555" t="n"/>
      <c r="B157" s="555" t="n"/>
      <c r="C157" s="1223" t="n"/>
      <c r="D157" s="1228" t="n"/>
    </row>
    <row r="158">
      <c r="A158" s="555" t="n"/>
      <c r="B158" s="555" t="n"/>
      <c r="C158" s="1223" t="n"/>
      <c r="D158" s="1228" t="n"/>
    </row>
    <row r="159">
      <c r="A159" s="555" t="n"/>
      <c r="B159" s="555" t="n"/>
      <c r="C159" s="1223" t="n"/>
      <c r="D159" s="1228" t="n"/>
    </row>
    <row r="160">
      <c r="A160" s="555" t="n"/>
      <c r="B160" s="555" t="n"/>
      <c r="C160" s="1223" t="n"/>
      <c r="D160" s="1228" t="n"/>
    </row>
    <row r="161">
      <c r="A161" s="555" t="n"/>
      <c r="B161" s="555" t="n"/>
      <c r="C161" s="1223" t="n"/>
      <c r="D161" s="1228" t="n"/>
    </row>
    <row r="162">
      <c r="A162" s="555" t="n"/>
      <c r="B162" s="555" t="n"/>
      <c r="C162" s="1223" t="n"/>
      <c r="D162" s="1228" t="n"/>
    </row>
    <row r="163">
      <c r="A163" s="555" t="n"/>
      <c r="B163" s="555" t="n"/>
      <c r="C163" s="1223" t="n"/>
      <c r="D163" s="1228" t="n"/>
    </row>
    <row r="164">
      <c r="A164" s="555" t="n"/>
      <c r="B164" s="555" t="n"/>
      <c r="C164" s="1223" t="n"/>
      <c r="D164" s="1228" t="n"/>
    </row>
    <row r="165">
      <c r="A165" s="555" t="n"/>
      <c r="B165" s="555" t="n"/>
      <c r="C165" s="1223" t="n"/>
      <c r="D165" s="1228" t="n"/>
    </row>
    <row r="166">
      <c r="A166" s="555" t="n"/>
      <c r="B166" s="555" t="n"/>
      <c r="C166" s="1223" t="n"/>
      <c r="D166" s="1228" t="n"/>
    </row>
    <row r="167">
      <c r="A167" s="555" t="n"/>
      <c r="B167" s="555" t="n"/>
      <c r="C167" s="1223" t="n"/>
      <c r="D167" s="1228" t="n"/>
    </row>
    <row r="168">
      <c r="A168" s="555" t="n"/>
      <c r="B168" s="555" t="n"/>
      <c r="C168" s="1223" t="n"/>
      <c r="D168" s="1228" t="n"/>
    </row>
    <row r="169">
      <c r="A169" s="555" t="n"/>
      <c r="B169" s="555" t="n"/>
      <c r="C169" s="1223" t="n"/>
      <c r="D169" s="1228" t="n"/>
    </row>
    <row r="170">
      <c r="A170" s="555" t="n"/>
      <c r="B170" s="555" t="n"/>
      <c r="C170" s="1223" t="n"/>
      <c r="D170" s="1228" t="n"/>
    </row>
    <row r="171">
      <c r="A171" s="555" t="n"/>
      <c r="B171" s="555" t="n"/>
      <c r="C171" s="1223" t="n"/>
      <c r="D171" s="1228" t="n"/>
    </row>
    <row r="172">
      <c r="A172" s="555" t="n"/>
      <c r="B172" s="555" t="n"/>
      <c r="C172" s="1223" t="n"/>
      <c r="D172" s="1228" t="n"/>
    </row>
    <row r="173">
      <c r="A173" s="555" t="n"/>
      <c r="B173" s="555" t="n"/>
      <c r="C173" s="1223" t="n"/>
      <c r="D173" s="1228" t="n"/>
    </row>
    <row r="174">
      <c r="A174" s="555" t="n"/>
      <c r="B174" s="555" t="n"/>
      <c r="C174" s="1223" t="n"/>
      <c r="D174" s="1228" t="n"/>
    </row>
    <row r="175">
      <c r="A175" s="555" t="n"/>
      <c r="B175" s="555" t="n"/>
      <c r="C175" s="1223" t="n"/>
      <c r="D175" s="1228" t="n"/>
    </row>
    <row r="176">
      <c r="A176" s="555" t="n"/>
      <c r="B176" s="555" t="n"/>
      <c r="C176" s="1223" t="n"/>
      <c r="D176" s="1228" t="n"/>
    </row>
    <row r="177">
      <c r="A177" s="555" t="n"/>
      <c r="B177" s="555" t="n"/>
      <c r="C177" s="1223" t="n"/>
      <c r="D177" s="1228" t="n"/>
    </row>
    <row r="178">
      <c r="A178" s="555" t="n"/>
      <c r="B178" s="555" t="n"/>
      <c r="C178" s="1223" t="n"/>
      <c r="D178" s="1228" t="n"/>
    </row>
    <row r="179">
      <c r="A179" s="555" t="n"/>
      <c r="B179" s="555" t="n"/>
      <c r="C179" s="1223" t="n"/>
      <c r="D179" s="1228" t="n"/>
    </row>
    <row r="180">
      <c r="A180" s="555" t="n"/>
      <c r="B180" s="555" t="n"/>
      <c r="C180" s="1223" t="n"/>
      <c r="D180" s="1228" t="n"/>
    </row>
    <row r="181">
      <c r="A181" s="555" t="n"/>
      <c r="B181" s="555" t="n"/>
      <c r="C181" s="1223" t="n"/>
      <c r="D181" s="1228" t="n"/>
    </row>
    <row r="182">
      <c r="A182" s="555" t="n"/>
      <c r="B182" s="555" t="n"/>
      <c r="C182" s="1223" t="n"/>
      <c r="D182" s="1228" t="n"/>
    </row>
    <row r="183">
      <c r="A183" s="555" t="n"/>
      <c r="B183" s="555" t="n"/>
      <c r="C183" s="1223" t="n"/>
      <c r="D183" s="1228" t="n"/>
    </row>
    <row r="184">
      <c r="A184" s="555" t="n"/>
      <c r="B184" s="555" t="n"/>
      <c r="C184" s="1223" t="n"/>
      <c r="D184" s="1228" t="n"/>
    </row>
    <row r="185">
      <c r="A185" s="555" t="n"/>
      <c r="B185" s="555" t="n"/>
      <c r="C185" s="1223" t="n"/>
      <c r="D185" s="1228" t="n"/>
    </row>
    <row r="186">
      <c r="A186" s="555" t="n"/>
      <c r="B186" s="555" t="n"/>
      <c r="C186" s="1223" t="n"/>
      <c r="D186" s="1228" t="n"/>
    </row>
    <row r="187">
      <c r="A187" s="555" t="n"/>
      <c r="B187" s="555" t="n"/>
      <c r="C187" s="1223" t="n"/>
      <c r="D187" s="1228" t="n"/>
    </row>
    <row r="188">
      <c r="A188" s="555" t="n"/>
      <c r="B188" s="555" t="n"/>
      <c r="C188" s="1223" t="n"/>
      <c r="D188" s="1228" t="n"/>
    </row>
    <row r="189">
      <c r="A189" s="555" t="n"/>
      <c r="B189" s="555" t="n"/>
      <c r="C189" s="1223" t="n"/>
      <c r="D189" s="1228" t="n"/>
    </row>
    <row r="190">
      <c r="A190" s="555" t="n"/>
      <c r="B190" s="555" t="n"/>
      <c r="C190" s="1223" t="n"/>
      <c r="D190" s="1228" t="n"/>
    </row>
    <row r="191">
      <c r="A191" s="555" t="n"/>
      <c r="B191" s="555" t="n"/>
      <c r="C191" s="1223" t="n"/>
      <c r="D191" s="1228" t="n"/>
    </row>
    <row r="192">
      <c r="A192" s="555" t="n"/>
      <c r="B192" s="555" t="n"/>
      <c r="C192" s="1223" t="n"/>
      <c r="D192" s="1228" t="n"/>
    </row>
    <row r="193">
      <c r="A193" s="555" t="n"/>
      <c r="B193" s="555" t="n"/>
      <c r="C193" s="1223" t="n"/>
      <c r="D193" s="1228" t="n"/>
    </row>
    <row r="194">
      <c r="A194" s="555" t="n"/>
      <c r="B194" s="555" t="n"/>
      <c r="C194" s="1223" t="n"/>
      <c r="D194" s="1228" t="n"/>
    </row>
    <row r="195">
      <c r="A195" s="555" t="n"/>
      <c r="B195" s="555" t="n"/>
      <c r="C195" s="1223" t="n"/>
      <c r="D195" s="1228" t="n"/>
    </row>
    <row r="196">
      <c r="A196" s="555" t="n"/>
      <c r="B196" s="555" t="n"/>
      <c r="C196" s="1223" t="n"/>
      <c r="D196" s="1228" t="n"/>
    </row>
    <row r="197">
      <c r="A197" s="555" t="n"/>
      <c r="B197" s="555" t="n"/>
      <c r="C197" s="1223" t="n"/>
      <c r="D197" s="1228" t="n"/>
    </row>
    <row r="198">
      <c r="A198" s="555" t="n"/>
      <c r="B198" s="555" t="n"/>
      <c r="C198" s="1223" t="n"/>
      <c r="D198" s="1228" t="n"/>
    </row>
    <row r="199">
      <c r="A199" s="555" t="n"/>
      <c r="B199" s="555" t="n"/>
      <c r="C199" s="1223" t="n"/>
      <c r="D199" s="1228" t="n"/>
    </row>
    <row r="200">
      <c r="A200" s="555" t="n"/>
      <c r="B200" s="555" t="n"/>
      <c r="C200" s="1223" t="n"/>
      <c r="D200" s="1228" t="n"/>
    </row>
    <row r="201">
      <c r="A201" s="555" t="n"/>
      <c r="B201" s="555" t="n"/>
      <c r="C201" s="1223" t="n"/>
      <c r="D201" s="1228" t="n"/>
    </row>
    <row r="202">
      <c r="A202" s="555" t="n"/>
      <c r="B202" s="555" t="n"/>
      <c r="C202" s="1223" t="n"/>
      <c r="D202" s="1228" t="n"/>
    </row>
    <row r="203">
      <c r="A203" s="555" t="n"/>
      <c r="B203" s="555" t="n"/>
      <c r="C203" s="1223" t="n"/>
      <c r="D203" s="1228" t="n"/>
    </row>
    <row r="204">
      <c r="A204" s="555" t="n"/>
      <c r="B204" s="555" t="n"/>
      <c r="C204" s="1223" t="n"/>
      <c r="D204" s="1228" t="n"/>
    </row>
    <row r="205">
      <c r="A205" s="555" t="n"/>
      <c r="B205" s="555" t="n"/>
      <c r="C205" s="1223" t="n"/>
      <c r="D205" s="1228" t="n"/>
    </row>
    <row r="206">
      <c r="A206" s="555" t="n"/>
      <c r="B206" s="555" t="n"/>
      <c r="C206" s="1223" t="n"/>
      <c r="D206" s="1228" t="n"/>
    </row>
    <row r="207">
      <c r="A207" s="555" t="n"/>
      <c r="B207" s="555" t="n"/>
      <c r="C207" s="1223" t="n"/>
      <c r="D207" s="1228" t="n"/>
    </row>
    <row r="208">
      <c r="A208" s="555" t="n"/>
      <c r="B208" s="555" t="n"/>
      <c r="C208" s="1223" t="n"/>
      <c r="D208" s="1228" t="n"/>
    </row>
    <row r="209">
      <c r="A209" s="555" t="n"/>
      <c r="B209" s="555" t="n"/>
      <c r="C209" s="1223" t="n"/>
      <c r="D209" s="1228" t="n"/>
    </row>
    <row r="210">
      <c r="A210" s="555" t="n"/>
      <c r="B210" s="555" t="n"/>
      <c r="C210" s="1223" t="n"/>
      <c r="D210" s="1228" t="n"/>
    </row>
    <row r="211">
      <c r="A211" s="555" t="n"/>
      <c r="B211" s="555" t="n"/>
      <c r="C211" s="1223" t="n"/>
      <c r="D211" s="1228" t="n"/>
    </row>
    <row r="212">
      <c r="A212" s="555" t="n"/>
      <c r="B212" s="555" t="n"/>
      <c r="C212" s="1223" t="n"/>
      <c r="D212" s="1228" t="n"/>
    </row>
    <row r="213">
      <c r="A213" s="555" t="n"/>
      <c r="B213" s="555" t="n"/>
      <c r="C213" s="1223" t="n"/>
      <c r="D213" s="1228" t="n"/>
    </row>
    <row r="214">
      <c r="A214" s="555" t="n"/>
      <c r="B214" s="555" t="n"/>
      <c r="C214" s="1223" t="n"/>
      <c r="D214" s="1228" t="n"/>
    </row>
    <row r="215">
      <c r="A215" s="555" t="n"/>
      <c r="B215" s="555" t="n"/>
      <c r="C215" s="1223" t="n"/>
      <c r="D215" s="1228" t="n"/>
    </row>
    <row r="216">
      <c r="A216" s="555" t="n"/>
      <c r="B216" s="555" t="n"/>
      <c r="C216" s="1223" t="n"/>
      <c r="D216" s="1228" t="n"/>
    </row>
    <row r="217">
      <c r="A217" s="555" t="n"/>
      <c r="B217" s="555" t="n"/>
      <c r="C217" s="1223" t="n"/>
      <c r="D217" s="1228" t="n"/>
    </row>
    <row r="218">
      <c r="A218" s="555" t="n"/>
      <c r="B218" s="555" t="n"/>
      <c r="C218" s="1223" t="n"/>
      <c r="D218" s="1228" t="n"/>
    </row>
    <row r="219">
      <c r="A219" s="555" t="n"/>
      <c r="B219" s="555" t="n"/>
      <c r="C219" s="1223" t="n"/>
      <c r="D219" s="1228" t="n"/>
    </row>
    <row r="220">
      <c r="A220" s="555" t="n"/>
      <c r="B220" s="555" t="n"/>
      <c r="C220" s="1223" t="n"/>
      <c r="D220" s="1228" t="n"/>
    </row>
    <row r="221">
      <c r="A221" s="555" t="n"/>
      <c r="B221" s="555" t="n"/>
      <c r="C221" s="1223" t="n"/>
      <c r="D221" s="1228" t="n"/>
    </row>
    <row r="222">
      <c r="A222" s="555" t="n"/>
      <c r="B222" s="555" t="n"/>
      <c r="C222" s="1223" t="n"/>
      <c r="D222" s="1228" t="n"/>
    </row>
    <row r="223">
      <c r="A223" s="555" t="n"/>
      <c r="B223" s="555" t="n"/>
      <c r="C223" s="1223" t="n"/>
      <c r="D223" s="1228" t="n"/>
    </row>
    <row r="224">
      <c r="A224" s="555" t="n"/>
      <c r="B224" s="555" t="n"/>
      <c r="C224" s="1223" t="n"/>
      <c r="D224" s="1228" t="n"/>
    </row>
    <row r="225">
      <c r="A225" s="555" t="n"/>
      <c r="B225" s="555" t="n"/>
      <c r="C225" s="1223" t="n"/>
      <c r="D225" s="1228" t="n"/>
    </row>
    <row r="226">
      <c r="A226" s="555" t="n"/>
      <c r="B226" s="555" t="n"/>
      <c r="C226" s="1223" t="n"/>
      <c r="D226" s="1228" t="n"/>
    </row>
    <row r="227">
      <c r="A227" s="555" t="n"/>
      <c r="B227" s="555" t="n"/>
      <c r="C227" s="1223" t="n"/>
      <c r="D227" s="1228" t="n"/>
    </row>
    <row r="228">
      <c r="A228" s="555" t="n"/>
      <c r="B228" s="555" t="n"/>
      <c r="C228" s="1223" t="n"/>
      <c r="D228" s="1228" t="n"/>
    </row>
    <row r="229">
      <c r="A229" s="555" t="n"/>
      <c r="B229" s="555" t="n"/>
      <c r="C229" s="1223" t="n"/>
      <c r="D229" s="1228" t="n"/>
    </row>
    <row r="230">
      <c r="A230" s="555" t="n"/>
      <c r="B230" s="555" t="n"/>
      <c r="C230" s="1223" t="n"/>
      <c r="D230" s="1228" t="n"/>
    </row>
    <row r="231">
      <c r="A231" s="555" t="n"/>
      <c r="B231" s="555" t="n"/>
      <c r="C231" s="1223" t="n"/>
      <c r="D231" s="1228" t="n"/>
    </row>
    <row r="232">
      <c r="A232" s="555" t="n"/>
      <c r="B232" s="555" t="n"/>
      <c r="C232" s="1223" t="n"/>
      <c r="D232" s="1228" t="n"/>
    </row>
    <row r="233">
      <c r="A233" s="555" t="n"/>
      <c r="B233" s="555" t="n"/>
      <c r="C233" s="1223" t="n"/>
      <c r="D233" s="1228" t="n"/>
    </row>
    <row r="234">
      <c r="A234" s="555" t="n"/>
      <c r="B234" s="555" t="n"/>
      <c r="C234" s="1223" t="n"/>
      <c r="D234" s="1228" t="n"/>
    </row>
    <row r="235">
      <c r="A235" s="555" t="n"/>
      <c r="B235" s="555" t="n"/>
      <c r="C235" s="1223" t="n"/>
      <c r="D235" s="1228" t="n"/>
    </row>
    <row r="236">
      <c r="A236" s="555" t="n"/>
      <c r="B236" s="555" t="n"/>
      <c r="C236" s="1223" t="n"/>
      <c r="D236" s="1228" t="n"/>
    </row>
    <row r="237">
      <c r="A237" s="555" t="n"/>
      <c r="B237" s="555" t="n"/>
      <c r="C237" s="1223" t="n"/>
      <c r="D237" s="1228" t="n"/>
    </row>
    <row r="238">
      <c r="A238" s="555" t="n"/>
      <c r="B238" s="555" t="n"/>
      <c r="C238" s="1223" t="n"/>
      <c r="D238" s="1228" t="n"/>
    </row>
    <row r="239">
      <c r="A239" s="555" t="n"/>
      <c r="B239" s="555" t="n"/>
      <c r="C239" s="1223" t="n"/>
      <c r="D239" s="1228" t="n"/>
    </row>
    <row r="240">
      <c r="A240" s="555" t="n"/>
      <c r="B240" s="555" t="n"/>
      <c r="C240" s="1223" t="n"/>
      <c r="D240" s="1228" t="n"/>
    </row>
    <row r="241">
      <c r="A241" s="555" t="n"/>
      <c r="B241" s="555" t="n"/>
      <c r="C241" s="1223" t="n"/>
      <c r="D241" s="1228" t="n"/>
    </row>
    <row r="242">
      <c r="A242" s="555" t="n"/>
      <c r="B242" s="555" t="n"/>
      <c r="C242" s="1223" t="n"/>
      <c r="D242" s="1228" t="n"/>
    </row>
    <row r="243">
      <c r="A243" s="555" t="n"/>
      <c r="B243" s="555" t="n"/>
      <c r="C243" s="1223" t="n"/>
      <c r="D243" s="1228" t="n"/>
    </row>
    <row r="244">
      <c r="A244" s="555" t="n"/>
      <c r="B244" s="555" t="n"/>
      <c r="C244" s="1223" t="n"/>
      <c r="D244" s="1228" t="n"/>
    </row>
    <row r="245">
      <c r="A245" s="555" t="n"/>
      <c r="B245" s="555" t="n"/>
      <c r="C245" s="1223" t="n"/>
      <c r="D245" s="1228" t="n"/>
    </row>
    <row r="246">
      <c r="A246" s="555" t="n"/>
      <c r="B246" s="555" t="n"/>
      <c r="C246" s="1223" t="n"/>
      <c r="D246" s="1228" t="n"/>
    </row>
    <row r="247">
      <c r="A247" s="555" t="n"/>
      <c r="B247" s="555" t="n"/>
      <c r="C247" s="1223" t="n"/>
      <c r="D247" s="1228" t="n"/>
    </row>
    <row r="248">
      <c r="A248" s="555" t="n"/>
      <c r="B248" s="555" t="n"/>
      <c r="C248" s="1223" t="n"/>
      <c r="D248" s="1228" t="n"/>
    </row>
    <row r="249">
      <c r="A249" s="555" t="n"/>
      <c r="B249" s="555" t="n"/>
      <c r="C249" s="1223" t="n"/>
      <c r="D249" s="1228" t="n"/>
    </row>
    <row r="250">
      <c r="A250" s="555" t="n"/>
      <c r="B250" s="555" t="n"/>
      <c r="C250" s="1223" t="n"/>
      <c r="D250" s="1228" t="n"/>
    </row>
    <row r="251">
      <c r="A251" s="555" t="n"/>
      <c r="B251" s="555" t="n"/>
      <c r="C251" s="1223" t="n"/>
      <c r="D251" s="1228" t="n"/>
    </row>
    <row r="252">
      <c r="A252" s="555" t="n"/>
      <c r="B252" s="555" t="n"/>
      <c r="C252" s="1223" t="n"/>
      <c r="D252" s="1228" t="n"/>
    </row>
    <row r="253">
      <c r="A253" s="555" t="n"/>
      <c r="B253" s="555" t="n"/>
      <c r="C253" s="1223" t="n"/>
      <c r="D253" s="1228" t="n"/>
    </row>
    <row r="254">
      <c r="A254" s="555" t="n"/>
      <c r="B254" s="555" t="n"/>
      <c r="C254" s="1223" t="n"/>
      <c r="D254" s="1228" t="n"/>
    </row>
    <row r="255">
      <c r="A255" s="555" t="n"/>
      <c r="B255" s="555" t="n"/>
      <c r="C255" s="1223" t="n"/>
      <c r="D255" s="1228" t="n"/>
    </row>
    <row r="256">
      <c r="A256" s="555" t="n"/>
      <c r="B256" s="555" t="n"/>
      <c r="C256" s="1223" t="n"/>
      <c r="D256" s="1228" t="n"/>
    </row>
    <row r="257">
      <c r="A257" s="555" t="n"/>
      <c r="B257" s="555" t="n"/>
      <c r="C257" s="1223" t="n"/>
      <c r="D257" s="1228" t="n"/>
    </row>
    <row r="258">
      <c r="A258" s="555" t="n"/>
      <c r="B258" s="555" t="n"/>
      <c r="C258" s="1223" t="n"/>
      <c r="D258" s="1228" t="n"/>
    </row>
    <row r="259">
      <c r="A259" s="555" t="n"/>
      <c r="B259" s="555" t="n"/>
      <c r="C259" s="1223" t="n"/>
      <c r="D259" s="1228" t="n"/>
    </row>
    <row r="260">
      <c r="A260" s="555" t="n"/>
      <c r="B260" s="555" t="n"/>
      <c r="C260" s="1223" t="n"/>
      <c r="D260" s="1228" t="n"/>
    </row>
    <row r="261">
      <c r="A261" s="555" t="n"/>
      <c r="B261" s="555" t="n"/>
      <c r="C261" s="1223" t="n"/>
      <c r="D261" s="1228" t="n"/>
    </row>
    <row r="262">
      <c r="A262" s="555" t="n"/>
      <c r="B262" s="555" t="n"/>
      <c r="C262" s="1223" t="n"/>
      <c r="D262" s="1228" t="n"/>
    </row>
    <row r="263">
      <c r="A263" s="555" t="n"/>
      <c r="B263" s="555" t="n"/>
      <c r="C263" s="1223" t="n"/>
      <c r="D263" s="1228" t="n"/>
    </row>
    <row r="264">
      <c r="A264" s="555" t="n"/>
      <c r="B264" s="555" t="n"/>
      <c r="C264" s="1223" t="n"/>
      <c r="D264" s="1228" t="n"/>
    </row>
    <row r="265">
      <c r="A265" s="555" t="n"/>
      <c r="B265" s="555" t="n"/>
      <c r="C265" s="1223" t="n"/>
      <c r="D265" s="1228" t="n"/>
    </row>
    <row r="266">
      <c r="A266" s="555" t="n"/>
      <c r="B266" s="555" t="n"/>
      <c r="C266" s="1223" t="n"/>
      <c r="D266" s="1228" t="n"/>
    </row>
    <row r="267">
      <c r="A267" s="555" t="n"/>
      <c r="B267" s="555" t="n"/>
      <c r="C267" s="1223" t="n"/>
      <c r="D267" s="1228" t="n"/>
    </row>
    <row r="268">
      <c r="A268" s="555" t="n"/>
      <c r="B268" s="555" t="n"/>
      <c r="C268" s="1223" t="n"/>
      <c r="D268" s="1228" t="n"/>
    </row>
    <row r="269">
      <c r="A269" s="555" t="n"/>
      <c r="B269" s="555" t="n"/>
      <c r="C269" s="1223" t="n"/>
      <c r="D269" s="1228" t="n"/>
    </row>
    <row r="270">
      <c r="A270" s="555" t="n"/>
      <c r="B270" s="555" t="n"/>
      <c r="C270" s="1223" t="n"/>
      <c r="D270" s="1228" t="n"/>
    </row>
    <row r="271">
      <c r="A271" s="555" t="n"/>
      <c r="B271" s="555" t="n"/>
      <c r="C271" s="1223" t="n"/>
      <c r="D271" s="1228" t="n"/>
    </row>
    <row r="272">
      <c r="A272" s="555" t="n"/>
      <c r="B272" s="555" t="n"/>
      <c r="C272" s="1223" t="n"/>
      <c r="D272" s="1228" t="n"/>
    </row>
    <row r="273">
      <c r="A273" s="555" t="n"/>
      <c r="B273" s="555" t="n"/>
      <c r="C273" s="1223" t="n"/>
      <c r="D273" s="1228" t="n"/>
    </row>
    <row r="274">
      <c r="A274" s="555" t="n"/>
      <c r="B274" s="555" t="n"/>
      <c r="C274" s="1223" t="n"/>
      <c r="D274" s="1228" t="n"/>
    </row>
    <row r="275">
      <c r="A275" s="555" t="n"/>
      <c r="B275" s="555" t="n"/>
      <c r="C275" s="1223" t="n"/>
      <c r="D275" s="1228" t="n"/>
    </row>
    <row r="276">
      <c r="A276" s="555" t="n"/>
      <c r="B276" s="555" t="n"/>
      <c r="C276" s="1223" t="n"/>
      <c r="D276" s="1228" t="n"/>
    </row>
    <row r="277">
      <c r="A277" s="555" t="n"/>
      <c r="B277" s="555" t="n"/>
      <c r="C277" s="1223" t="n"/>
      <c r="D277" s="1228" t="n"/>
    </row>
    <row r="278">
      <c r="A278" s="555" t="n"/>
      <c r="B278" s="555" t="n"/>
      <c r="C278" s="1223" t="n"/>
      <c r="D278" s="1228" t="n"/>
    </row>
    <row r="279">
      <c r="A279" s="555" t="n"/>
      <c r="B279" s="555" t="n"/>
      <c r="C279" s="1223" t="n"/>
      <c r="D279" s="1228" t="n"/>
    </row>
    <row r="280">
      <c r="A280" s="555" t="n"/>
      <c r="B280" s="555" t="n"/>
      <c r="C280" s="1223" t="n"/>
      <c r="D280" s="1228" t="n"/>
    </row>
    <row r="281">
      <c r="A281" s="555" t="n"/>
      <c r="B281" s="555" t="n"/>
      <c r="C281" s="1223" t="n"/>
      <c r="D281" s="1228" t="n"/>
    </row>
    <row r="282">
      <c r="A282" s="555" t="n"/>
      <c r="B282" s="555" t="n"/>
      <c r="C282" s="1223" t="n"/>
      <c r="D282" s="1228" t="n"/>
    </row>
    <row r="283">
      <c r="A283" s="555" t="n"/>
      <c r="B283" s="555" t="n"/>
      <c r="C283" s="1223" t="n"/>
      <c r="D283" s="1228" t="n"/>
    </row>
    <row r="284">
      <c r="A284" s="555" t="n"/>
      <c r="B284" s="555" t="n"/>
      <c r="C284" s="1223" t="n"/>
      <c r="D284" s="1228" t="n"/>
    </row>
    <row r="285">
      <c r="A285" s="555" t="n"/>
      <c r="B285" s="555" t="n"/>
      <c r="C285" s="1223" t="n"/>
      <c r="D285" s="1228" t="n"/>
    </row>
    <row r="286">
      <c r="A286" s="555" t="n"/>
      <c r="B286" s="555" t="n"/>
      <c r="C286" s="1223" t="n"/>
      <c r="D286" s="1228" t="n"/>
    </row>
    <row r="287">
      <c r="A287" s="555" t="n"/>
      <c r="B287" s="555" t="n"/>
      <c r="C287" s="1223" t="n"/>
      <c r="D287" s="1228" t="n"/>
    </row>
    <row r="288">
      <c r="A288" s="555" t="n"/>
      <c r="B288" s="555" t="n"/>
      <c r="C288" s="1223" t="n"/>
      <c r="D288" s="1228" t="n"/>
    </row>
    <row r="289">
      <c r="A289" s="555" t="n"/>
      <c r="B289" s="555" t="n"/>
      <c r="C289" s="1223" t="n"/>
      <c r="D289" s="1228" t="n"/>
    </row>
    <row r="290">
      <c r="A290" s="555" t="n"/>
      <c r="B290" s="555" t="n"/>
      <c r="C290" s="1223" t="n"/>
      <c r="D290" s="1228" t="n"/>
    </row>
    <row r="291">
      <c r="A291" s="555" t="n"/>
      <c r="B291" s="555" t="n"/>
      <c r="C291" s="1223" t="n"/>
      <c r="D291" s="1228" t="n"/>
    </row>
    <row r="292">
      <c r="A292" s="555" t="n"/>
      <c r="B292" s="555" t="n"/>
      <c r="C292" s="1223" t="n"/>
      <c r="D292" s="1228" t="n"/>
    </row>
    <row r="293">
      <c r="A293" s="555" t="n"/>
      <c r="B293" s="555" t="n"/>
      <c r="C293" s="1223" t="n"/>
      <c r="D293" s="1228" t="n"/>
    </row>
    <row r="294">
      <c r="A294" s="555" t="n"/>
      <c r="B294" s="555" t="n"/>
      <c r="C294" s="1223" t="n"/>
      <c r="D294" s="1228" t="n"/>
    </row>
    <row r="295">
      <c r="A295" s="555" t="n"/>
      <c r="B295" s="555" t="n"/>
      <c r="C295" s="1223" t="n"/>
      <c r="D295" s="1228" t="n"/>
    </row>
    <row r="296">
      <c r="A296" s="555" t="n"/>
      <c r="B296" s="555" t="n"/>
      <c r="C296" s="1223" t="n"/>
      <c r="D296" s="1228" t="n"/>
    </row>
    <row r="297">
      <c r="A297" s="555" t="n"/>
      <c r="B297" s="555" t="n"/>
      <c r="C297" s="1223" t="n"/>
      <c r="D297" s="1228" t="n"/>
    </row>
    <row r="298">
      <c r="A298" s="555" t="n"/>
      <c r="B298" s="555" t="n"/>
      <c r="C298" s="1223" t="n"/>
      <c r="D298" s="1228" t="n"/>
    </row>
    <row r="299">
      <c r="A299" s="555" t="n"/>
      <c r="B299" s="555" t="n"/>
      <c r="C299" s="1223" t="n"/>
      <c r="D299" s="1228" t="n"/>
    </row>
    <row r="300">
      <c r="A300" s="555" t="n"/>
      <c r="B300" s="555" t="n"/>
      <c r="C300" s="1223" t="n"/>
      <c r="D300" s="1228" t="n"/>
    </row>
    <row r="301">
      <c r="A301" s="555" t="n"/>
      <c r="B301" s="555" t="n"/>
      <c r="C301" s="1223" t="n"/>
      <c r="D301" s="1228" t="n"/>
    </row>
    <row r="302">
      <c r="A302" s="555" t="n"/>
      <c r="B302" s="555" t="n"/>
      <c r="C302" s="1223" t="n"/>
      <c r="D302" s="1228" t="n"/>
    </row>
    <row r="303">
      <c r="A303" s="555" t="n"/>
      <c r="B303" s="555" t="n"/>
      <c r="C303" s="1223" t="n"/>
      <c r="D303" s="1228" t="n"/>
    </row>
    <row r="304">
      <c r="A304" s="555" t="n"/>
      <c r="B304" s="555" t="n"/>
      <c r="C304" s="1223" t="n"/>
      <c r="D304" s="1228" t="n"/>
    </row>
    <row r="305">
      <c r="A305" s="555" t="n"/>
      <c r="B305" s="555" t="n"/>
      <c r="C305" s="1223" t="n"/>
      <c r="D305" s="1228" t="n"/>
    </row>
    <row r="306">
      <c r="A306" s="555" t="n"/>
      <c r="B306" s="555" t="n"/>
      <c r="C306" s="1223" t="n"/>
      <c r="D306" s="1228" t="n"/>
    </row>
    <row r="307">
      <c r="A307" s="555" t="n"/>
      <c r="B307" s="555" t="n"/>
      <c r="C307" s="1223" t="n"/>
      <c r="D307" s="1228" t="n"/>
    </row>
    <row r="308">
      <c r="A308" s="555" t="n"/>
      <c r="B308" s="555" t="n"/>
      <c r="C308" s="1223" t="n"/>
      <c r="D308" s="1228" t="n"/>
    </row>
    <row r="309">
      <c r="A309" s="555" t="n"/>
      <c r="B309" s="555" t="n"/>
      <c r="C309" s="1223" t="n"/>
      <c r="D309" s="1228" t="n"/>
    </row>
    <row r="310">
      <c r="A310" s="555" t="n"/>
      <c r="B310" s="555" t="n"/>
      <c r="C310" s="1223" t="n"/>
      <c r="D310" s="1228" t="n"/>
    </row>
    <row r="311">
      <c r="A311" s="555" t="n"/>
      <c r="B311" s="555" t="n"/>
      <c r="C311" s="1223" t="n"/>
      <c r="D311" s="1228" t="n"/>
    </row>
    <row r="312">
      <c r="A312" s="555" t="n"/>
      <c r="B312" s="555" t="n"/>
      <c r="C312" s="1223" t="n"/>
      <c r="D312" s="1228" t="n"/>
    </row>
    <row r="313">
      <c r="A313" s="555" t="n"/>
      <c r="B313" s="555" t="n"/>
      <c r="C313" s="1223" t="n"/>
      <c r="D313" s="1228" t="n"/>
    </row>
    <row r="314">
      <c r="A314" s="555" t="n"/>
      <c r="B314" s="555" t="n"/>
      <c r="C314" s="1223" t="n"/>
      <c r="D314" s="1228" t="n"/>
    </row>
    <row r="315">
      <c r="A315" s="555" t="n"/>
      <c r="B315" s="555" t="n"/>
      <c r="C315" s="1223" t="n"/>
      <c r="D315" s="1228" t="n"/>
    </row>
    <row r="316">
      <c r="A316" s="555" t="n"/>
      <c r="B316" s="555" t="n"/>
      <c r="C316" s="1223" t="n"/>
      <c r="D316" s="1228" t="n"/>
    </row>
    <row r="317">
      <c r="A317" s="555" t="n"/>
      <c r="B317" s="555" t="n"/>
      <c r="C317" s="1223" t="n"/>
      <c r="D317" s="1228" t="n"/>
    </row>
    <row r="318">
      <c r="A318" s="555" t="n"/>
      <c r="B318" s="555" t="n"/>
      <c r="C318" s="1223" t="n"/>
      <c r="D318" s="1228" t="n"/>
    </row>
    <row r="319">
      <c r="A319" s="555" t="n"/>
      <c r="B319" s="555" t="n"/>
      <c r="C319" s="1223" t="n"/>
      <c r="D319" s="1228" t="n"/>
    </row>
    <row r="320">
      <c r="A320" s="555" t="n"/>
      <c r="B320" s="555" t="n"/>
      <c r="C320" s="1223" t="n"/>
      <c r="D320" s="1228" t="n"/>
    </row>
    <row r="321">
      <c r="A321" s="555" t="n"/>
      <c r="B321" s="555" t="n"/>
      <c r="C321" s="1223" t="n"/>
      <c r="D321" s="1228" t="n"/>
    </row>
    <row r="322">
      <c r="A322" s="555" t="n"/>
      <c r="B322" s="555" t="n"/>
      <c r="C322" s="1223" t="n"/>
      <c r="D322" s="1228" t="n"/>
    </row>
    <row r="323">
      <c r="A323" s="555" t="n"/>
      <c r="B323" s="555" t="n"/>
      <c r="C323" s="1223" t="n"/>
      <c r="D323" s="1228" t="n"/>
    </row>
    <row r="324">
      <c r="A324" s="555" t="n"/>
      <c r="B324" s="555" t="n"/>
      <c r="C324" s="1223" t="n"/>
      <c r="D324" s="1228" t="n"/>
    </row>
    <row r="325">
      <c r="A325" s="555" t="n"/>
      <c r="B325" s="555" t="n"/>
      <c r="C325" s="1223" t="n"/>
      <c r="D325" s="1228" t="n"/>
    </row>
    <row r="326">
      <c r="A326" s="555" t="n"/>
      <c r="B326" s="555" t="n"/>
      <c r="C326" s="1223" t="n"/>
    </row>
    <row r="327">
      <c r="A327" s="555" t="n"/>
      <c r="B327" s="555" t="n"/>
      <c r="C327" s="1223" t="n"/>
    </row>
    <row r="328">
      <c r="A328" s="555" t="n"/>
      <c r="B328" s="555" t="n"/>
      <c r="C328" s="1223" t="n"/>
    </row>
    <row r="329">
      <c r="A329" s="555" t="n"/>
      <c r="B329" s="555" t="n"/>
      <c r="C329" s="1223" t="n"/>
    </row>
    <row r="330">
      <c r="A330" s="555" t="n"/>
      <c r="B330" s="555" t="n"/>
      <c r="C330" s="1223" t="n"/>
    </row>
    <row r="331">
      <c r="A331" s="555" t="n"/>
      <c r="B331" s="555" t="n"/>
      <c r="C331" s="1223" t="n"/>
    </row>
    <row r="332">
      <c r="A332" s="555" t="n"/>
      <c r="B332" s="555" t="n"/>
      <c r="C332" s="1223" t="n"/>
    </row>
    <row r="333">
      <c r="A333" s="555" t="n"/>
      <c r="B333" s="555" t="n"/>
      <c r="C333" s="1223" t="n"/>
    </row>
    <row r="334">
      <c r="A334" s="555" t="n"/>
      <c r="B334" s="555" t="n"/>
      <c r="C334" s="1223" t="n"/>
    </row>
    <row r="335">
      <c r="A335" s="555" t="n"/>
      <c r="B335" s="555" t="n"/>
      <c r="C335" s="1223" t="n"/>
    </row>
    <row r="336">
      <c r="A336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Maketing_</dc:creator>
  <dcterms:created xmlns:dcterms="http://purl.org/dc/terms/" xmlns:xsi="http://www.w3.org/2001/XMLSchema-instance" xsi:type="dcterms:W3CDTF">2023-11-27T07:48:00Z</dcterms:created>
  <dcterms:modified xmlns:dcterms="http://purl.org/dc/terms/" xmlns:xsi="http://www.w3.org/2001/XMLSchema-instance" xsi:type="dcterms:W3CDTF">2026-08-20T02:53:55Z</dcterms:modified>
  <cp:lastModifiedBy>nno7179@naver.com</cp:lastModifiedBy>
  <cp:lastPrinted>2026-04-29T01:53:01Z</cp:lastPrinted>
</cp:coreProperties>
</file>